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praxis\term 1\FMO\assignment\"/>
    </mc:Choice>
  </mc:AlternateContent>
  <xr:revisionPtr revIDLastSave="0" documentId="13_ncr:1_{34122597-9F70-4471-B1A4-28C2149BB7EC}" xr6:coauthVersionLast="47" xr6:coauthVersionMax="47" xr10:uidLastSave="{00000000-0000-0000-0000-000000000000}"/>
  <bookViews>
    <workbookView xWindow="-108" yWindow="-108" windowWidth="23256" windowHeight="12456" tabRatio="500" firstSheet="7" activeTab="10" xr2:uid="{00000000-000D-0000-FFFF-FFFF00000000}"/>
  </bookViews>
  <sheets>
    <sheet name="Cover" sheetId="1" state="hidden" r:id="rId1"/>
    <sheet name=" ABFRL Financial Data" sheetId="2" r:id="rId2"/>
    <sheet name=" ABFRL Ratio Analysis" sheetId="3" r:id="rId3"/>
    <sheet name=" DAM Capital Financial Data" sheetId="4" r:id="rId4"/>
    <sheet name="⑥ Visualizations" sheetId="5" state="hidden" r:id="rId5"/>
    <sheet name="⑦ Interpretation" sheetId="6" state="hidden" r:id="rId6"/>
    <sheet name="⑧ Dashboard" sheetId="7" state="hidden" r:id="rId7"/>
    <sheet name=" DAM Capital Ratio Analysis" sheetId="8" r:id="rId8"/>
    <sheet name="⑨ Data Sources" sheetId="9" state="hidden" r:id="rId9"/>
    <sheet name="IRR &amp; NPV Analysis" sheetId="10" r:id="rId10"/>
    <sheet name="Risk &amp; Reward Scorecard" sheetId="11" r:id="rId1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3" i="2" l="1"/>
  <c r="D19" i="2"/>
  <c r="D20" i="2" s="1"/>
  <c r="E17" i="2"/>
  <c r="E19" i="2" s="1"/>
  <c r="E20" i="2" s="1"/>
  <c r="F17" i="2"/>
  <c r="G17" i="2"/>
  <c r="F19" i="2"/>
  <c r="F20" i="2" s="1"/>
  <c r="G19" i="2"/>
  <c r="G20" i="2"/>
  <c r="B52" i="10"/>
  <c r="B38" i="10"/>
  <c r="C38" i="10" s="1"/>
  <c r="D37" i="10"/>
  <c r="E37" i="10" s="1"/>
  <c r="B37" i="10"/>
  <c r="C37" i="10" s="1"/>
  <c r="E23" i="10"/>
  <c r="C23" i="10"/>
  <c r="E22" i="10"/>
  <c r="C22" i="10"/>
  <c r="E21" i="10"/>
  <c r="C21" i="10"/>
  <c r="E20" i="10"/>
  <c r="C20" i="10"/>
  <c r="H38" i="8"/>
  <c r="G38" i="8"/>
  <c r="F38" i="8"/>
  <c r="E38" i="8"/>
  <c r="D38" i="8"/>
  <c r="H32" i="8"/>
  <c r="G32" i="8"/>
  <c r="F32" i="8"/>
  <c r="E32" i="8"/>
  <c r="D32" i="8"/>
  <c r="H24" i="8"/>
  <c r="G24" i="8"/>
  <c r="F24" i="8"/>
  <c r="E24" i="8"/>
  <c r="D24" i="8"/>
  <c r="H23" i="8"/>
  <c r="G23" i="8"/>
  <c r="F23" i="8"/>
  <c r="E23" i="8"/>
  <c r="D23" i="8"/>
  <c r="G18" i="8"/>
  <c r="E12" i="8"/>
  <c r="F8" i="8"/>
  <c r="D8" i="8"/>
  <c r="G7" i="8"/>
  <c r="H6" i="8"/>
  <c r="F6" i="8"/>
  <c r="D6" i="8"/>
  <c r="G69" i="4"/>
  <c r="F69" i="4"/>
  <c r="E69" i="4"/>
  <c r="D69" i="4"/>
  <c r="C69" i="4"/>
  <c r="G66" i="4"/>
  <c r="H18" i="8" s="1"/>
  <c r="F66" i="4"/>
  <c r="E66" i="4"/>
  <c r="F18" i="8" s="1"/>
  <c r="D66" i="4"/>
  <c r="E18" i="8" s="1"/>
  <c r="C66" i="4"/>
  <c r="D18" i="8" s="1"/>
  <c r="G57" i="4"/>
  <c r="F57" i="4"/>
  <c r="E57" i="4"/>
  <c r="D57" i="4"/>
  <c r="C57" i="4"/>
  <c r="E50" i="4"/>
  <c r="E58" i="4" s="1"/>
  <c r="C50" i="4"/>
  <c r="C58" i="4" s="1"/>
  <c r="G45" i="4"/>
  <c r="G50" i="4" s="1"/>
  <c r="G58" i="4" s="1"/>
  <c r="F45" i="4"/>
  <c r="F50" i="4" s="1"/>
  <c r="F58" i="4" s="1"/>
  <c r="E45" i="4"/>
  <c r="D45" i="4"/>
  <c r="D50" i="4" s="1"/>
  <c r="D58" i="4" s="1"/>
  <c r="C45" i="4"/>
  <c r="C40" i="4"/>
  <c r="G39" i="4"/>
  <c r="H7" i="8" s="1"/>
  <c r="F39" i="4"/>
  <c r="G8" i="8" s="1"/>
  <c r="E39" i="4"/>
  <c r="F7" i="8" s="1"/>
  <c r="D39" i="4"/>
  <c r="E6" i="8" s="1"/>
  <c r="C39" i="4"/>
  <c r="D7" i="8" s="1"/>
  <c r="G33" i="4"/>
  <c r="G40" i="4" s="1"/>
  <c r="F33" i="4"/>
  <c r="E33" i="4"/>
  <c r="E40" i="4" s="1"/>
  <c r="D33" i="4"/>
  <c r="C33" i="4"/>
  <c r="G27" i="4"/>
  <c r="H30" i="8" s="1"/>
  <c r="F27" i="4"/>
  <c r="G30" i="8" s="1"/>
  <c r="E27" i="4"/>
  <c r="D27" i="4"/>
  <c r="D40" i="4" s="1"/>
  <c r="C27" i="4"/>
  <c r="D28" i="8" s="1"/>
  <c r="C19" i="4"/>
  <c r="G18" i="4"/>
  <c r="H14" i="8" s="1"/>
  <c r="F18" i="4"/>
  <c r="F19" i="4" s="1"/>
  <c r="E18" i="4"/>
  <c r="F37" i="8" s="1"/>
  <c r="D18" i="4"/>
  <c r="E37" i="8" s="1"/>
  <c r="C18" i="4"/>
  <c r="D14" i="8" s="1"/>
  <c r="D13" i="4"/>
  <c r="D14" i="4" s="1"/>
  <c r="C13" i="4"/>
  <c r="D12" i="8" s="1"/>
  <c r="G12" i="4"/>
  <c r="F12" i="4"/>
  <c r="E12" i="4"/>
  <c r="D12" i="4"/>
  <c r="C12" i="4"/>
  <c r="G7" i="4"/>
  <c r="G13" i="4" s="1"/>
  <c r="F7" i="4"/>
  <c r="F13" i="4" s="1"/>
  <c r="E7" i="4"/>
  <c r="E13" i="4" s="1"/>
  <c r="D7" i="4"/>
  <c r="C7" i="4"/>
  <c r="G77" i="2"/>
  <c r="F77" i="2"/>
  <c r="E77" i="2"/>
  <c r="D77" i="2"/>
  <c r="C77" i="2"/>
  <c r="G74" i="2"/>
  <c r="H17" i="3" s="1"/>
  <c r="F74" i="2"/>
  <c r="E74" i="2"/>
  <c r="D74" i="2"/>
  <c r="C74" i="2"/>
  <c r="G65" i="2"/>
  <c r="H5" i="3" s="1"/>
  <c r="F65" i="2"/>
  <c r="G5" i="3" s="1"/>
  <c r="E65" i="2"/>
  <c r="D65" i="2"/>
  <c r="C65" i="2"/>
  <c r="G57" i="2"/>
  <c r="G66" i="2" s="1"/>
  <c r="F57" i="2"/>
  <c r="F66" i="2" s="1"/>
  <c r="E57" i="2"/>
  <c r="E66" i="2" s="1"/>
  <c r="D57" i="2"/>
  <c r="D66" i="2" s="1"/>
  <c r="C57" i="2"/>
  <c r="C66" i="2" s="1"/>
  <c r="G52" i="2"/>
  <c r="F52" i="2"/>
  <c r="E52" i="2"/>
  <c r="D52" i="2"/>
  <c r="C52" i="2"/>
  <c r="F46" i="2"/>
  <c r="E46" i="2"/>
  <c r="G45" i="2"/>
  <c r="F45" i="2"/>
  <c r="E45" i="2"/>
  <c r="F7" i="3" s="1"/>
  <c r="D45" i="2"/>
  <c r="E7" i="3" s="1"/>
  <c r="C45" i="2"/>
  <c r="D6" i="3" s="1"/>
  <c r="G37" i="2"/>
  <c r="F37" i="2"/>
  <c r="E37" i="2"/>
  <c r="D37" i="2"/>
  <c r="C37" i="2"/>
  <c r="G30" i="2"/>
  <c r="F30" i="2"/>
  <c r="E30" i="2"/>
  <c r="D30" i="2"/>
  <c r="D46" i="2" s="1"/>
  <c r="G28" i="2"/>
  <c r="F28" i="2"/>
  <c r="E28" i="2"/>
  <c r="D28" i="2"/>
  <c r="C28" i="2"/>
  <c r="C30" i="2" s="1"/>
  <c r="G13" i="2"/>
  <c r="F13" i="2"/>
  <c r="E13" i="2"/>
  <c r="D13" i="2"/>
  <c r="G7" i="2"/>
  <c r="G14" i="2" s="1"/>
  <c r="H35" i="3" s="1"/>
  <c r="F7" i="2"/>
  <c r="E7" i="2"/>
  <c r="E14" i="2" s="1"/>
  <c r="D7" i="2"/>
  <c r="D14" i="2" s="1"/>
  <c r="C7" i="2"/>
  <c r="C14" i="2" s="1"/>
  <c r="H40" i="3"/>
  <c r="G40" i="3"/>
  <c r="F40" i="3"/>
  <c r="E40" i="3"/>
  <c r="D40" i="3"/>
  <c r="H34" i="3"/>
  <c r="G34" i="3"/>
  <c r="F34" i="3"/>
  <c r="E34" i="3"/>
  <c r="D34" i="3"/>
  <c r="H31" i="3"/>
  <c r="G31" i="3"/>
  <c r="F31" i="3"/>
  <c r="E31" i="3"/>
  <c r="H27" i="3"/>
  <c r="G27" i="3"/>
  <c r="F27" i="3"/>
  <c r="E27" i="3"/>
  <c r="D27" i="3"/>
  <c r="H26" i="3"/>
  <c r="G26" i="3"/>
  <c r="F26" i="3"/>
  <c r="E26" i="3"/>
  <c r="D26" i="3"/>
  <c r="H25" i="3"/>
  <c r="G25" i="3"/>
  <c r="F25" i="3"/>
  <c r="E25" i="3"/>
  <c r="D25" i="3"/>
  <c r="H24" i="3"/>
  <c r="G24" i="3"/>
  <c r="F24" i="3"/>
  <c r="E24" i="3"/>
  <c r="D24" i="3"/>
  <c r="H23" i="3"/>
  <c r="G23" i="3"/>
  <c r="F23" i="3"/>
  <c r="E23" i="3"/>
  <c r="D23" i="3"/>
  <c r="H22" i="3"/>
  <c r="G22" i="3"/>
  <c r="F22" i="3"/>
  <c r="E22" i="3"/>
  <c r="D22" i="3"/>
  <c r="G17" i="3"/>
  <c r="F17" i="3"/>
  <c r="E17" i="3"/>
  <c r="D17" i="3"/>
  <c r="H7" i="3"/>
  <c r="G7" i="3"/>
  <c r="H6" i="3"/>
  <c r="F6" i="3"/>
  <c r="E6" i="3"/>
  <c r="E5" i="3"/>
  <c r="C17" i="2" l="1"/>
  <c r="C19" i="2" s="1"/>
  <c r="D39" i="3" s="1"/>
  <c r="F14" i="2"/>
  <c r="C16" i="2"/>
  <c r="D35" i="3"/>
  <c r="C15" i="2"/>
  <c r="D11" i="3"/>
  <c r="D31" i="3"/>
  <c r="C46" i="2"/>
  <c r="C68" i="2" s="1"/>
  <c r="D33" i="3"/>
  <c r="H33" i="3"/>
  <c r="F12" i="8"/>
  <c r="E14" i="4"/>
  <c r="F33" i="8"/>
  <c r="E15" i="4"/>
  <c r="D16" i="2"/>
  <c r="E35" i="3"/>
  <c r="D15" i="2"/>
  <c r="E11" i="3"/>
  <c r="H13" i="3"/>
  <c r="H39" i="3"/>
  <c r="H15" i="3"/>
  <c r="F14" i="4"/>
  <c r="G33" i="8"/>
  <c r="F15" i="4"/>
  <c r="G12" i="8"/>
  <c r="E29" i="8"/>
  <c r="E15" i="8"/>
  <c r="E22" i="8"/>
  <c r="E39" i="8"/>
  <c r="D60" i="4"/>
  <c r="H21" i="3"/>
  <c r="H14" i="3"/>
  <c r="D21" i="3"/>
  <c r="D16" i="3"/>
  <c r="H33" i="8"/>
  <c r="G15" i="4"/>
  <c r="H12" i="8"/>
  <c r="G14" i="4"/>
  <c r="F30" i="8"/>
  <c r="E16" i="3"/>
  <c r="E21" i="3"/>
  <c r="D68" i="2"/>
  <c r="G29" i="8"/>
  <c r="G15" i="8"/>
  <c r="G22" i="8"/>
  <c r="G39" i="8"/>
  <c r="F60" i="4"/>
  <c r="E16" i="2"/>
  <c r="F16" i="3" s="1"/>
  <c r="F11" i="3"/>
  <c r="E15" i="2"/>
  <c r="F35" i="3"/>
  <c r="F21" i="3"/>
  <c r="E68" i="2"/>
  <c r="H22" i="8"/>
  <c r="H39" i="8"/>
  <c r="G60" i="4"/>
  <c r="H17" i="8"/>
  <c r="H29" i="8"/>
  <c r="H15" i="8"/>
  <c r="F29" i="8"/>
  <c r="F15" i="8"/>
  <c r="F22" i="8"/>
  <c r="F39" i="8"/>
  <c r="E60" i="4"/>
  <c r="F17" i="8"/>
  <c r="G15" i="3"/>
  <c r="G13" i="3"/>
  <c r="G39" i="3"/>
  <c r="G21" i="3"/>
  <c r="G14" i="3"/>
  <c r="G33" i="3"/>
  <c r="F68" i="2"/>
  <c r="D39" i="8"/>
  <c r="C60" i="4"/>
  <c r="D29" i="8"/>
  <c r="D15" i="8"/>
  <c r="D22" i="8"/>
  <c r="G19" i="4"/>
  <c r="D5" i="3"/>
  <c r="G6" i="3"/>
  <c r="E33" i="3"/>
  <c r="G16" i="2"/>
  <c r="G46" i="2"/>
  <c r="G68" i="2" s="1"/>
  <c r="C15" i="4"/>
  <c r="E14" i="8"/>
  <c r="E28" i="8"/>
  <c r="D33" i="8"/>
  <c r="G37" i="8"/>
  <c r="D38" i="10"/>
  <c r="F40" i="4"/>
  <c r="G6" i="8"/>
  <c r="E8" i="8"/>
  <c r="F14" i="8"/>
  <c r="D16" i="8"/>
  <c r="F28" i="8"/>
  <c r="D30" i="8"/>
  <c r="E33" i="8"/>
  <c r="H37" i="8"/>
  <c r="B53" i="10"/>
  <c r="F5" i="3"/>
  <c r="D7" i="3"/>
  <c r="D17" i="2"/>
  <c r="G14" i="8"/>
  <c r="E16" i="8"/>
  <c r="G28" i="8"/>
  <c r="E30" i="8"/>
  <c r="B39" i="10"/>
  <c r="B54" i="10"/>
  <c r="D15" i="4"/>
  <c r="H11" i="3"/>
  <c r="G15" i="2"/>
  <c r="C14" i="4"/>
  <c r="D19" i="4"/>
  <c r="F16" i="8"/>
  <c r="H28" i="8"/>
  <c r="E19" i="4"/>
  <c r="E7" i="8"/>
  <c r="H8" i="8"/>
  <c r="G16" i="8"/>
  <c r="F33" i="3"/>
  <c r="H16" i="8"/>
  <c r="D37" i="8"/>
  <c r="D15" i="3" l="1"/>
  <c r="D14" i="3"/>
  <c r="C20" i="2"/>
  <c r="D13" i="3"/>
  <c r="G35" i="3"/>
  <c r="F16" i="2"/>
  <c r="G11" i="3"/>
  <c r="F15" i="2"/>
  <c r="E13" i="3"/>
  <c r="E39" i="3"/>
  <c r="E31" i="8"/>
  <c r="E13" i="8"/>
  <c r="F13" i="8"/>
  <c r="F31" i="8"/>
  <c r="F13" i="3"/>
  <c r="F39" i="3"/>
  <c r="G13" i="8"/>
  <c r="G31" i="8"/>
  <c r="G17" i="8"/>
  <c r="F14" i="3"/>
  <c r="E15" i="3"/>
  <c r="D31" i="8"/>
  <c r="D13" i="8"/>
  <c r="E17" i="8"/>
  <c r="D39" i="10"/>
  <c r="E38" i="10"/>
  <c r="F15" i="3"/>
  <c r="E12" i="3"/>
  <c r="E32" i="3"/>
  <c r="B40" i="10"/>
  <c r="B55" i="10"/>
  <c r="C39" i="10"/>
  <c r="H12" i="3"/>
  <c r="H32" i="3"/>
  <c r="D17" i="8"/>
  <c r="F32" i="3"/>
  <c r="F12" i="3"/>
  <c r="E14" i="3"/>
  <c r="H13" i="8"/>
  <c r="H31" i="8"/>
  <c r="H16" i="3"/>
  <c r="D12" i="3"/>
  <c r="D32" i="3"/>
  <c r="G32" i="3" l="1"/>
  <c r="G12" i="3"/>
  <c r="G16" i="3"/>
  <c r="E39" i="10"/>
  <c r="D40" i="10"/>
  <c r="C40" i="10"/>
  <c r="B56" i="10"/>
  <c r="B41" i="10"/>
  <c r="B43" i="10" l="1"/>
  <c r="B44" i="10" s="1"/>
  <c r="B45" i="10" s="1"/>
  <c r="C41" i="10"/>
  <c r="B46" i="10" s="1"/>
  <c r="D41" i="10"/>
  <c r="E40" i="10"/>
  <c r="D43" i="10" l="1"/>
  <c r="D44" i="10" s="1"/>
  <c r="D45" i="10" s="1"/>
  <c r="E41" i="10"/>
  <c r="D46" i="10" s="1"/>
  <c r="B57" i="10"/>
  <c r="B58" i="10" s="1"/>
  <c r="B59" i="10" s="1"/>
  <c r="B47" i="10"/>
  <c r="D47" i="10" l="1"/>
  <c r="B15" i="10"/>
  <c r="B9" i="10"/>
  <c r="B12" i="10"/>
  <c r="C9" i="10"/>
  <c r="C15" i="10"/>
  <c r="C12" i="10"/>
</calcChain>
</file>

<file path=xl/sharedStrings.xml><?xml version="1.0" encoding="utf-8"?>
<sst xmlns="http://schemas.openxmlformats.org/spreadsheetml/2006/main" count="977" uniqueCount="630">
  <si>
    <t>Aditya Birla Fashion &amp; Retail (ABFRL) — RATIO ANALYSIS (FY2020–FY2024)</t>
  </si>
  <si>
    <t xml:space="preserve">  LIQUIDITY RATIOS</t>
  </si>
  <si>
    <t>Ratio</t>
  </si>
  <si>
    <t>Formula / Meaning</t>
  </si>
  <si>
    <t>FY2020</t>
  </si>
  <si>
    <t>FY2021</t>
  </si>
  <si>
    <t>FY2022</t>
  </si>
  <si>
    <t>FY2023</t>
  </si>
  <si>
    <t>FY2024</t>
  </si>
  <si>
    <t>Ideal Range</t>
  </si>
  <si>
    <t>📖 What It Means &amp; Inference for ABFRL</t>
  </si>
  <si>
    <t>Current Ratio</t>
  </si>
  <si>
    <t>Current Assets / Current Liabilities</t>
  </si>
  <si>
    <t>1.5x – 2.0x
(Retail best practice)</t>
  </si>
  <si>
    <t>ABFRL's current ratio is below 1.0 in most years (FY24: 0.95x) meaning current liabilities EXCEED current assets. For every ₹1 of short-term debt, ABFRL holds only ₹0.95 of liquid assets. While Indian retailers can operate this way due to large trade payable float, it signals potential liquidity squeeze if credit conditions tighten. Monitor closely — a ratio persistently below 1.0 is a yellow flag.</t>
  </si>
  <si>
    <t>Quick Ratio / Acid test Ratio</t>
  </si>
  <si>
    <t>(CA − Inventory) / Current Liabilities</t>
  </si>
  <si>
    <t>0.8x – 1.2x
(Excluding inventory)</t>
  </si>
  <si>
    <t>The quick ratio strips out inventory (which may take months to sell) and leaves only cash + receivables. At 0.45x in FY24, ABFRL can cover less than half of its short-term bills without selling any stock. The ideal is above 1.0x. ABFRL's reliance on inventory conversion means any slowdown in fashion demand could create a cash crunch — this is the most important short-term solvency metric for a retailer.</t>
  </si>
  <si>
    <t>Cash Ratio</t>
  </si>
  <si>
    <t>Cash &amp; Equivalents / Current Liabilities</t>
  </si>
  <si>
    <t>0.2x – 0.5x
(Pure cash coverage)</t>
  </si>
  <si>
    <t>The cash ratio is the strictest liquidity test — only actual cash. At 0.05x in FY24, ABFRL holds just ₹5 of cash for every ₹100 of current liabilities. While retailers globally run lean cash positions (relying on credit lines), ABFRL's near-zero cash ratio leaves virtually no buffer for unexpected expenses. This makes the company dependent on continuous bank credit availability.</t>
  </si>
  <si>
    <t xml:space="preserve">  PROFITABILITY RATIOS</t>
  </si>
  <si>
    <t>EBITDA Margin</t>
  </si>
  <si>
    <t>EBITDA / Revenue</t>
  </si>
  <si>
    <t>15% – 25%
(Retail/Apparel norm)</t>
  </si>
  <si>
    <t>EBITDA margin measures operating profitability before interest, taxes, depreciation — giving the clearest view of business model economics. Under Ind AS 116, ABFRL's EBITDA includes lease-related adjustments that can distort the number upward. The FY24 figure of ~84% reflects accounting treatment, NOT cash profitability. Cash EBITDA margin for fashion retail should be 15-25%. Normalise for lease add-backs before using this metric.</t>
  </si>
  <si>
    <t>Operating Margin</t>
  </si>
  <si>
    <t>EBIT / Revenue</t>
  </si>
  <si>
    <t>8% – 18%
(Operating efficiency)</t>
  </si>
  <si>
    <t>Operating margin (EBIT/Revenue) tells you how much profit is generated per rupee of sales after all operating costs including depreciation. ABFRL's operating margin swings from positive (FY20: 74.5%) to near-zero (FY22: 0.07%) based on the lease accounting treatment. The real business generates about 8-12% EBIT on a cash basis. Trend direction (improving from FY22 low) is more important than absolute level given Ind AS 116 distortions.</t>
  </si>
  <si>
    <t>Net Profit Margin</t>
  </si>
  <si>
    <t>Net Income / Revenue</t>
  </si>
  <si>
    <t>3% – 8%
(Healthy retail PAT)</t>
  </si>
  <si>
    <t>Net profit margin is the bottom-line measure — how much of every revenue rupee flows to shareholders. ABFRL has been loss-making (negative net margin) in FY21, FY22, FY24. Only in FY20 and FY23 was it marginally profitable. Root causes: high interest costs on debt, and heavy D&amp;A from store fit-outs and ROU assets. PAT break-even is the critical milestone investors are watching for. It has NOT been achieved consistently.</t>
  </si>
  <si>
    <t>Return on Assets (ROA)</t>
  </si>
  <si>
    <t>Net Income / Total Assets</t>
  </si>
  <si>
    <t>8% – 15%
(Efficient asset use)</t>
  </si>
  <si>
    <t>ROA below 5% means the company earns less than ₹5 for every ₹100 of assets it deploys. ABFRL's negative ROA in multiple years signals the company is destroying asset value. Key driver: massive intangible assets (goodwill of ₹8,429 Cr in FY24) from acquisitions that have not yet generated proportionate returns. If acquisition synergies don't materialise, asset write-downs become a risk.</t>
  </si>
  <si>
    <t>Return on Equity (ROE)</t>
  </si>
  <si>
    <t>Net Income / Total Equity</t>
  </si>
  <si>
    <t>15% – 25%
(Shareholder return)</t>
  </si>
  <si>
    <t>ROE tells shareholders how much they earn on their investment. ABFRL's ROE is volatile — 20.8% in FY20, deeply negative in FY21-22, 15.9% in FY23, -2.4% in FY24. This volatility makes it impossible to value the stock on normalised earnings. A retailer should generate 15-20% ROE sustainably. ABFRL needs 2-3 consecutive profitable years before ROE can be considered reliable. Current trajectory is improving but fragile.</t>
  </si>
  <si>
    <t>ROCE</t>
  </si>
  <si>
    <t>EBIT / (Total Assets − Current Liabilities)</t>
  </si>
  <si>
    <t>12% – 20%
(Above WACC of ~13%)</t>
  </si>
  <si>
    <t>ROCE is the most complete measure of capital efficiency — it tells you whether returns exceed the cost of capital. ABFRL's ROCE collapsed from 75.7% in FY20 to 16.1% in FY24 as the asset base ballooned (from ₹12,866 Cr to ₹32,871 Cr) without proportionate EBIT growth. If ROCE falls below WACC (~13% for ABFRL), the company is destroying economic value with every rupee of capital deployed.</t>
  </si>
  <si>
    <t>FCF Margin</t>
  </si>
  <si>
    <t>Free Cash Flow / Revenue</t>
  </si>
  <si>
    <t>5% – 15%
(Cash generation quality)</t>
  </si>
  <si>
    <t>FCF margin = cash profits after all capital spending. A negative FCF margin means the company is cash-flow negative — burning investor money. ABFRL's FCF turned sharply negative in FY24 (-25.6%) due to CapEx of ₹2,992 Cr (store expansion + TCNS Clothing acquisition). Management targets FCF positivity by FY26 as new stores mature. Until then, every rupee of expansion requires external funding — this is the #1 investor concern.</t>
  </si>
  <si>
    <t xml:space="preserve">  EFFICIENCY / ACTIVITY RATIOS</t>
  </si>
  <si>
    <t>Asset Turnover</t>
  </si>
  <si>
    <t>Revenue / Total Assets</t>
  </si>
  <si>
    <t>1.5x – 2.5x
(Retail standard)</t>
  </si>
  <si>
    <t>Asset turnover of 0.20x in FY24 means ABFRL generates only ₹0.20 of revenue for every ₹1 of total assets. This is extremely low. The drag comes from ₹22,650 Cr of fixed assets (including ROU assets) and ₹8,429 Cr of goodwill. Strip out non-operating assets and cash productivity improves significantly, but the denominator is inflated by accounting. Industry-best retailers (Trent, Zara) run 2x+ asset turnover.</t>
  </si>
  <si>
    <t>Receivables Turnover</t>
  </si>
  <si>
    <t>Revenue / Trade Receivables</t>
  </si>
  <si>
    <t>8x – 15x
(Faster = better)</t>
  </si>
  <si>
    <t>Receivables turnover of 4.7x in FY24 means ABFRL collects its debtors only 4.7 times per year (every ~78 days). This deteriorated sharply from 12.2x in FY20. Rising trade receivables (₹1,359 Cr in FY24 vs ₹722 Cr in FY20) suggest extended credit to franchise dealers and large wholesale buyers. If these receivables age and become doubtful, it could require provisions that hit profitability further.</t>
  </si>
  <si>
    <t>Days Sales Outstanding</t>
  </si>
  <si>
    <t>365 / Receivables Turnover</t>
  </si>
  <si>
    <t>20 – 45 days
(Tight collections)</t>
  </si>
  <si>
    <t>Days Sales Outstanding (DSO) of 77 days in FY24 vs 30 days in FY20 represents a 2.5x worsening. Each additional day of DSO ties up approximately ₹25 Cr of working capital (based on FY24 revenue ÷ 365). The trend is directionally bad — management must explain whether this is strategic (supporting channel partners) or symptomatic (weak demand recovery).</t>
  </si>
  <si>
    <t>Inventory Turnover</t>
  </si>
  <si>
    <t>COGS / Inventories</t>
  </si>
  <si>
    <t>4x – 8x
(Fashion retail norm)</t>
  </si>
  <si>
    <t>Inventory turnover of 0.58x in FY24 is critically low — it means stock turns less than once per year. DIO of 630 days is alarming for a fashion company where trends change seasonally. The root cause: inventory nearly doubled from ₹1,743 Cr (FY20) to ₹4,505 Cr (FY24) while COGS barely kept pace. Slow-moving inventory risks markdowns, obsolescence write-offs, and margin compression. This deserves board-level attention.</t>
  </si>
  <si>
    <t>Days Inventory Outstanding</t>
  </si>
  <si>
    <t>365 × Inventory / COGS</t>
  </si>
  <si>
    <t>45 – 90 days
(Seasonal stock OK)</t>
  </si>
  <si>
    <t>DIO of 630 days (FY24) vs industry best of 45-90 days is a 7-10x gap. Holding inventory for nearly 2 years destroys working capital and creates obsolescence risk. Fashion companies ideally complete an inventory cycle before each season. ABFRL's high DIO reflects its multi-brand complexity (10+ brands, 4,500+ stores) but it is also a sign of demand weakness. Compare with Trent's DIO of ~80 days for context.</t>
  </si>
  <si>
    <t>Payables Turnover</t>
  </si>
  <si>
    <t>COGS / Accounts Payable</t>
  </si>
  <si>
    <t>6x – 12x
(Healthy payables)</t>
  </si>
  <si>
    <t>Payables turnover of 0.63x (FY24) implies DPO of 578 days — far outside any normal range. This unusually high figure may reflect: (1) Ind AS 116 lease payables included in trade payables, (2) deferred purchase obligations from acquisitions, or (3) genuine supplier payment delays. Verify against notes to accounts. If authentic, it signals very aggressive working capital management that could be unsustainable if suppliers demand faster payment.</t>
  </si>
  <si>
    <t>Days Payable Outstanding</t>
  </si>
  <si>
    <t>365 × AP / COGS</t>
  </si>
  <si>
    <t>45 – 90 days
(Trade norm India)</t>
  </si>
  <si>
    <t>DPO of 578 days (FY24) is statistically an outlier — it cannot be taken at face value without scrutinising which payables are included. If ABFRL is genuinely paying suppliers after 1.5 years, it would be unsustainable and ethically problematic. More likely, lease-related payables (Ind AS 116) are distorting this number. Investors should strip lease liabilities from trade payables before calculating this ratio.</t>
  </si>
  <si>
    <t xml:space="preserve">  LEVERAGE / SOLVENCY RATIOS</t>
  </si>
  <si>
    <t>Debt-to-Equity Ratio</t>
  </si>
  <si>
    <t>Total Debt / Total Equity</t>
  </si>
  <si>
    <t>0.5x – 1.5x
(Manageable debt)</t>
  </si>
  <si>
    <t>D/E of 1.12x in FY24 has improved from 2.92x in FY20 (post-rights issue recapitalization). The current level is borderline — banks typically get concerned above 2x for retail companies. Key caveat: ABFRL's 'total debt' in this ratio excludes Ind AS 116 lease liabilities (which would push D/E to 3-4x). On an economic basis, ABFRL carries very significant leverage including operating leases.</t>
  </si>
  <si>
    <t>Interest Coverage</t>
  </si>
  <si>
    <t>EBIT / Finance Costs</t>
  </si>
  <si>
    <t>Above 3x is safe;
Above 1.5x minimum</t>
  </si>
  <si>
    <t>Interest coverage of 0.84x in FY24 is RED ALERT territory — EBIT does NOT cover interest payments. This means ABFRL is technically in a pre-distress state from an interest servicing perspective. The company manages this by capitalising some costs, using deferred tax assets, and drawing on working capital lines. Any EBIT deterioration from here could trigger covenant breaches on loans. This is the most critical leverage metric — target should be &gt;3x.</t>
  </si>
  <si>
    <t>Equity Multiplier</t>
  </si>
  <si>
    <t>Total Assets / Total Equity</t>
  </si>
  <si>
    <t>2x – 4x
(Conservative leverage)</t>
  </si>
  <si>
    <t>Equity multiplier of 6.04x means only 16.6% of assets are funded by equity — the rest is leveraged. This amplifies both gains and losses. Currently, losses are being amplified (negative ROE). In a recovery scenario where ABFRL achieves 5% net margins on ₹15,000 Cr revenue, ROE could jump to 25%+ — this is the leveraged turnaround thesis that bulls are playing. Risk: if revenue stalls, equity gets wiped out faster.</t>
  </si>
  <si>
    <t>Net Debt (INR Cr)</t>
  </si>
  <si>
    <t>Total Borrowings − Cash</t>
  </si>
  <si>
    <t>Below 2.0x EBITDA
(Investment grade)</t>
  </si>
  <si>
    <t>Net Debt/EBITDA of 0.80x appears comfortable but requires careful interpretation. The 'EBITDA' in this ratio includes lease adjustments (Ind AS 116) which can be 3-4x the cash EBITDA. On a cash-adjusted basis, Net Debt/Cash EBITDA could be 3-5x — which is elevated. Indian credit rating agencies (CARE, ICRA) typically assess this on a cash-adjusted basis. Monitor the credit outlook rather than the headline ratio.</t>
  </si>
  <si>
    <t>Net Debt / EBITDA</t>
  </si>
  <si>
    <t>Below 3.0x  (BBB-)
Below 2.0x (AAA)</t>
  </si>
  <si>
    <t>Net Debt/EBITDA of 0.80x seems excellent at first glance. But with ABFRL's EBITDA inflated by Ind AS 116 lease income add-backs, the cash-based equivalent is far higher. Standard &amp; Poor's methodology for retail uses Lease-adjusted Debt/EBITDAR (where R = rent) which would show ABFRL at 5-7x — consistent with a sub-investment grade rating. The absolute level is acceptable; the lease-adjusted metric is the real concern.</t>
  </si>
  <si>
    <t xml:space="preserve">  CASH FLOW QUALITY RATIOS</t>
  </si>
  <si>
    <t>CFO / Net Income</t>
  </si>
  <si>
    <t>Cash from Operations / Net Income</t>
  </si>
  <si>
    <t>Above 1.0x
(Earnings quality)</t>
  </si>
  <si>
    <t>CFO/Net Income ratio tests whether reported profits convert to actual cash. A ratio &gt;1x means cash earnings beat accounting earnings (high quality). ABFRL's deeply negative values in loss years (FY21: -5.1x, FY24: -10.2x) mean cash losses substantially exceed reported losses — driven by large working capital buildup (inventory +158% over 5 years) and operating lease payments not fully reflected in P&amp;L. This confirms that ABFRL's losses are real and cash-intensive, not merely accounting artifacts.</t>
  </si>
  <si>
    <t>CapEx Intensity</t>
  </si>
  <si>
    <t>CapEx / Revenue</t>
  </si>
  <si>
    <t>3% – 8%
(Maintenance mode)
15%–25% (Growth)</t>
  </si>
  <si>
    <t>CapEx intensity of 46.5% in FY24 (₹2,992 Cr on ₹6,441 Cr revenue) was driven by the ₹1,650 Cr TCNS Clothing acquisition plus aggressive network expansion to 4,500+ stores. Growth CapEx at this level is only justified if it generates 20%+ ROIC within 3-5 years. Management guidance is that new store ROIC exceeds 25%. If true, today's CapEx intensity will normalise to 5-8% by FY27. This is the make-or-break assumption for the ABFRL investment thesis.</t>
  </si>
  <si>
    <t>INDIAN EQUITY ANALYSIS
ADITYA BIRLA FASHION &amp; RETAIL  |  DAM CAPITAL ADVISORS
FY2020 – FY2024</t>
  </si>
  <si>
    <t>NSE: ABFRL  |  NSE: DAMCAP  |  All figures in INR Crores  |  FY ends March 31</t>
  </si>
  <si>
    <t>① Financial Data</t>
  </si>
  <si>
    <t>3-statement data: P&amp;L, Balance Sheet, Cash Flow (FY2020–FY2024)</t>
  </si>
  <si>
    <t>② Ratio Analysis</t>
  </si>
  <si>
    <t>25+ ratios — Liquidity, Profitability, Efficiency, Leverage, CF</t>
  </si>
  <si>
    <t>③ Visualizations</t>
  </si>
  <si>
    <t>Charts for ABFRL and DAM Capital side by side</t>
  </si>
  <si>
    <t>④ Interpretation</t>
  </si>
  <si>
    <t>Strengths, risks &amp; strategic commentary per company</t>
  </si>
  <si>
    <t>⑦ IRR &amp; NPV Analysis</t>
  </si>
  <si>
    <t>IRR, NPV, WACC, DCF model with 5-year FCF projections for both companies</t>
  </si>
  <si>
    <t>⑧ Risk &amp; Reward Scorecard</t>
  </si>
  <si>
    <t>Weighted risk/reward scoring, investment verdict, risk-reward ratio comparison</t>
  </si>
  <si>
    <t>FY2024 SNAPSHOT</t>
  </si>
  <si>
    <t>ABFRL Revenue</t>
  </si>
  <si>
    <t>ABFRL EBITDA Margin</t>
  </si>
  <si>
    <t>ABFRL Net Income</t>
  </si>
  <si>
    <t>ABFRL D/E</t>
  </si>
  <si>
    <t>DAM Revenue</t>
  </si>
  <si>
    <t>DAM Net Margin</t>
  </si>
  <si>
    <t>DAM ROE</t>
  </si>
  <si>
    <t>DAM Net Debt</t>
  </si>
  <si>
    <t>₹14,688 Cr</t>
  </si>
  <si>
    <t>14.6%</t>
  </si>
  <si>
    <t>−₹147 Cr</t>
  </si>
  <si>
    <t>1.12x</t>
  </si>
  <si>
    <t>₹289.6 Cr</t>
  </si>
  <si>
    <t>44.6%</t>
  </si>
  <si>
    <t>54.5%</t>
  </si>
  <si>
    <t>Negative (Cash Rich)</t>
  </si>
  <si>
    <t>Aditya Birla Fashion &amp; Retail (ABFRL) — FINANCIAL STATEMENTS (FY2020–FY2024)</t>
  </si>
  <si>
    <t xml:space="preserve">  PROFIT &amp; LOSS STATEMENT</t>
  </si>
  <si>
    <t>Item (INR Cr)</t>
  </si>
  <si>
    <t>Revenue from Operations</t>
  </si>
  <si>
    <t>Other Income</t>
  </si>
  <si>
    <t>Total Income</t>
  </si>
  <si>
    <t>Cost of Materials / Purchases</t>
  </si>
  <si>
    <t>Employee Benefit Expenses</t>
  </si>
  <si>
    <t>Finance Costs</t>
  </si>
  <si>
    <t>Depreciation &amp; Amortization</t>
  </si>
  <si>
    <t>Other Expenses</t>
  </si>
  <si>
    <t>Total Expenses</t>
  </si>
  <si>
    <t>EBITDA (Operating Profit)</t>
  </si>
  <si>
    <t>EBITDA Margin %</t>
  </si>
  <si>
    <t>EBIT (Operating Income)</t>
  </si>
  <si>
    <t>Profit Before Tax (PBT)</t>
  </si>
  <si>
    <t>Tax Expense / (Credit)</t>
  </si>
  <si>
    <t>Net Profit / (Loss)</t>
  </si>
  <si>
    <t>Net Profit Margin %</t>
  </si>
  <si>
    <t>EPS (Basic, INR)</t>
  </si>
  <si>
    <t xml:space="preserve">  BALANCE SHEET</t>
  </si>
  <si>
    <t xml:space="preserve">  EQUITY &amp; LIABILITIES</t>
  </si>
  <si>
    <t>Equity Share Capital</t>
  </si>
  <si>
    <t>Reserves &amp; Surplus</t>
  </si>
  <si>
    <t>Total Shareholders Funds</t>
  </si>
  <si>
    <t>Minority Interest</t>
  </si>
  <si>
    <t>Total Equity</t>
  </si>
  <si>
    <t xml:space="preserve">  NON-CURRENT LIABILITIES</t>
  </si>
  <si>
    <t>Long Term Borrowings</t>
  </si>
  <si>
    <t>Long Term Lease Liabilities</t>
  </si>
  <si>
    <t>Deferred Tax Liabilities [Net]</t>
  </si>
  <si>
    <t>Other Long Term Liabilities</t>
  </si>
  <si>
    <t>Long Term Provisions</t>
  </si>
  <si>
    <t>Total Non-Current Liabilities</t>
  </si>
  <si>
    <t xml:space="preserve">  CURRENT LIABILITIES</t>
  </si>
  <si>
    <t>Short Term Borrowings</t>
  </si>
  <si>
    <t>Current Maturities of LT Debt</t>
  </si>
  <si>
    <t>Short Term Lease Liabilities</t>
  </si>
  <si>
    <t>Trade Payables</t>
  </si>
  <si>
    <t>Other Current Liabilities</t>
  </si>
  <si>
    <t>Short Term Provisions</t>
  </si>
  <si>
    <t>Total Current Liabilities</t>
  </si>
  <si>
    <t>Total Capital &amp; Liabilities</t>
  </si>
  <si>
    <t xml:space="preserve">  ASSETS — NON-CURRENT</t>
  </si>
  <si>
    <t>Tangible Assets (PP&amp;E, Net)</t>
  </si>
  <si>
    <t>Intangible Assets (Goodwill etc)</t>
  </si>
  <si>
    <t>Capital Work-In-Progress</t>
  </si>
  <si>
    <t>Right-of-Use Assets</t>
  </si>
  <si>
    <t>Fixed Assets (Total)</t>
  </si>
  <si>
    <t>Non-Current Investments</t>
  </si>
  <si>
    <t>Deferred Tax Assets [Net]</t>
  </si>
  <si>
    <t>Long Term Loans &amp; Advances</t>
  </si>
  <si>
    <t>Other Non-Current Assets</t>
  </si>
  <si>
    <t>Total Non-Current Assets</t>
  </si>
  <si>
    <t xml:space="preserve">  ASSETS — CURRENT</t>
  </si>
  <si>
    <t>Current Investments</t>
  </si>
  <si>
    <t>Inventories</t>
  </si>
  <si>
    <t>Trade Receivables</t>
  </si>
  <si>
    <t>Cash &amp; Cash Equivalents</t>
  </si>
  <si>
    <t>Short Term Loans &amp; Advances</t>
  </si>
  <si>
    <t>Other Current Assets</t>
  </si>
  <si>
    <t>Total Current Assets</t>
  </si>
  <si>
    <t>Total Assets</t>
  </si>
  <si>
    <t xml:space="preserve">  BALANCE SHEET CHECK</t>
  </si>
  <si>
    <t>Assets − Liabilities (must = 0)</t>
  </si>
  <si>
    <t xml:space="preserve">  CASH FLOW STATEMENT</t>
  </si>
  <si>
    <t>Cash from Operations (CFO)</t>
  </si>
  <si>
    <t>Capital Expenditures (CapEx)</t>
  </si>
  <si>
    <t>Free Cash Flow (FCF)</t>
  </si>
  <si>
    <t>Cash from Investing Activity</t>
  </si>
  <si>
    <t>Cash from Financing Activity</t>
  </si>
  <si>
    <t>Net Change in Cash</t>
  </si>
  <si>
    <t>Closing Cash &amp; Equivalents</t>
  </si>
  <si>
    <t>DAM Capital Advisors (DAMCAP) — FINANCIAL STATEMENTS (FY2020–FY2024)</t>
  </si>
  <si>
    <t>INR Crores  |  FY ends March 31  |  Standalone  |  Blue = hardcoded input  |  Black = formula</t>
  </si>
  <si>
    <t>Employee &amp; Operating Expenses</t>
  </si>
  <si>
    <t>Provisions &amp; Write-offs</t>
  </si>
  <si>
    <t>Finance Costs (Interest)</t>
  </si>
  <si>
    <t>Intangible Assets</t>
  </si>
  <si>
    <t>Current Investments (Mkt Secs)</t>
  </si>
  <si>
    <t>Data Sources: Screener.in/company/DAMCAPITAL/ (Standalone) | Finology Ticker/company/DAMCAPITAL | BSE Annual Reports FY2020–FY2024 | Note: FY2023 balance sheet shows spike in current liabilities/assets due to client asset flows (ECM business). FY2020 = pre-name change from IDFC Securities.</t>
  </si>
  <si>
    <t>Year</t>
  </si>
  <si>
    <t>ABFRL  &amp;  DAM CAPITAL — FINANCIAL VISUALIZATIONS (FY2020–FY2024)</t>
  </si>
  <si>
    <t>ABFRL EBITDA%</t>
  </si>
  <si>
    <t>ABFRL Net Margin%</t>
  </si>
  <si>
    <t>ABFRL Current</t>
  </si>
  <si>
    <t>ABFRL Quick</t>
  </si>
  <si>
    <t>ABFRL Int Cov</t>
  </si>
  <si>
    <t>ABFRL CFO</t>
  </si>
  <si>
    <t>ABFRL FCF</t>
  </si>
  <si>
    <t>DAM Net Income</t>
  </si>
  <si>
    <t>DAM EBITDA%</t>
  </si>
  <si>
    <t>DAM Net Margin%</t>
  </si>
  <si>
    <t>DAM ROE%</t>
  </si>
  <si>
    <t>DAM ROA%</t>
  </si>
  <si>
    <t>DAM CFO</t>
  </si>
  <si>
    <t>DAM FCF</t>
  </si>
  <si>
    <t>DAM Int Cov</t>
  </si>
  <si>
    <t>RATIO INTERPRETATION — ABFRL &amp; DAM CAPITAL</t>
  </si>
  <si>
    <t>Analysis &amp; Trend</t>
  </si>
  <si>
    <t>Signal</t>
  </si>
  <si>
    <t>Implication</t>
  </si>
  <si>
    <t xml:space="preserve">  ADITYA BIRLA FASHION &amp; RETAIL (ABFRL) — STRENGTHS</t>
  </si>
  <si>
    <t>Revenue Growth (CAGR ~16%)</t>
  </si>
  <si>
    <t>Revenue grew from ₹8,027 Cr (FY20) to ₹14,688 Cr (FY24), a ~83% absolute increase. Consistent top-line expansion reflects store rollouts and brand acquisitions (Reebok, Galeries Lafayette).</t>
  </si>
  <si>
    <t>✓ STRENGTH — Revenue Scale</t>
  </si>
  <si>
    <t>India's largest fashion retailer by store count (4,500+ stores). Scale advantages in sourcing, distribution, and brand licensing.</t>
  </si>
  <si>
    <t>EBITDA Margin Recovery (neg→14.6%)</t>
  </si>
  <si>
    <t>EBITDA margin recovered from -3.1% (FY21 COVID trough) to 14.6% (FY24), reflecting fixed cost leverage as revenues doubled and operating efficiency improved post-pandemic.</t>
  </si>
  <si>
    <t>✓ STRENGTH — Operational Recovery</t>
  </si>
  <si>
    <t>Demonstrates business model resilience. EBITDA positive since FY22; improving trajectory validates multi-brand portfolio strategy.</t>
  </si>
  <si>
    <t>Inventory Turnover (~1.0–1.3x)</t>
  </si>
  <si>
    <t>Fashion retail benchmark. Faster than FY20 level (~0.90x). Days inventory ~270-280 days — high but typical for multi-brand apparel where seasonal collections require forward buying.</t>
  </si>
  <si>
    <t>✓ STRENGTH (Relative)</t>
  </si>
  <si>
    <t>Managing ₹5,890 Cr inventory base efficiently given the range of brands (Pantaloons, Allen Solly, Van Heusen, Louis Philippe).</t>
  </si>
  <si>
    <t xml:space="preserve">  ADITYA BIRLA FASHION &amp; RETAIL (ABFRL) — RISKS</t>
  </si>
  <si>
    <t>Persistent Net Losses (FY20–FY24)</t>
  </si>
  <si>
    <t>ABFRL has reported net losses in every year (FY20: -₹187 Cr, FY24: -₹147 Cr). High depreciation (leasehold improvements, Ind AS 116 lease liabilities) and interest costs erode PBT.</t>
  </si>
  <si>
    <t>✗ RISK — Profitability</t>
  </si>
  <si>
    <t>Without net profitability, equity dilution risk rises. Investors rely on EBITDA trajectory and eventual PAT break-even; manageable if revenue growth sustains.</t>
  </si>
  <si>
    <t>High Debt Load (D/E 1.12x, Interest Coverage 0.84x)</t>
  </si>
  <si>
    <t>Total debt of ₹5,285 Cr vs equity ₹4,709 Cr. Interest coverage of 0.84x in FY24 means EBIT barely covers interest — any revenue shock could trigger covenant breaches.</t>
  </si>
  <si>
    <t>✗ RISK — Leverage / Solvency</t>
  </si>
  <si>
    <t>Net debt of ₹4,973 Cr is 2.3x EBITDA — above comfort range for retail. Refinancing risk rises if rates stay elevated or EBITDA growth stalls.</t>
  </si>
  <si>
    <t>Negative FCF (All 5 Years)</t>
  </si>
  <si>
    <t>Free cash flow has been negative or near-zero in every year (FY24: -₹170 Cr). CapEx consistently exceeds CFO due to aggressive store expansion and capex-heavy leasehold improvements.</t>
  </si>
  <si>
    <t>✗ RISK — Cash Flow</t>
  </si>
  <si>
    <t>Requires debt/equity financing to fund growth. Equity raises dilute existing shareholders; continued negative FCF delays deleveraging.</t>
  </si>
  <si>
    <t xml:space="preserve">  DAM CAPITAL ADVISORS — STRENGTHS</t>
  </si>
  <si>
    <t>Explosive Revenue Growth (CAGR ~38%)</t>
  </si>
  <si>
    <t>Revenue grew from ₹78.5 Cr (FY20) to ₹289.6 Cr (FY24) — a 269% increase. Driven by India's booming equity capital markets (IPOs, QIPs, M&amp;A advisory) where DAM is a leading mid-market bank.</t>
  </si>
  <si>
    <t>✓ STRENGTH — High Growth</t>
  </si>
  <si>
    <t>Best-in-class growth for a boutique investment bank. Market share gains in ECM (equity capital markets) position DAM as the go-to advisor for ₹500–5,000 Cr transactions.</t>
  </si>
  <si>
    <t>Net Profit Margin (44.6% FY24)</t>
  </si>
  <si>
    <t>Net margin expanded from 19.7% (FY20) to 44.6% (FY24), driven by operating leverage in a fee-based business model with minimal capital requirements and low fixed costs.</t>
  </si>
  <si>
    <t>✓ STRENGTH — Premium Margins</t>
  </si>
  <si>
    <t>Capital-light model: no balance sheet risk, all revenue is fee-based. High incremental margins on new deal closures. Comparable to top-tier global advisory firms.</t>
  </si>
  <si>
    <t>Net Cash Position &amp; Zero Long-term Debt</t>
  </si>
  <si>
    <t>₹198.3 Cr cash, zero long-term debt. Net debt is deeply negative (company is net-cash). Interest coverage &gt;90x. Balance sheet is pristine.</t>
  </si>
  <si>
    <t>✓ STRENGTH — Balance Sheet</t>
  </si>
  <si>
    <t>Cash-richness funds dividends, buybacks, and potential expansion (institutional broking, wealth management). No refinancing risk whatsoever.</t>
  </si>
  <si>
    <t>ROE 54.5% (FY24)</t>
  </si>
  <si>
    <t>ROE of 54.5% reflects exceptional earnings power relative to equity base. High due to: (1) fat margins, (2) minimal asset base, (3) growing deal pipeline. Not distorted by leverage.</t>
  </si>
  <si>
    <t>✓ STRENGTH — Returns</t>
  </si>
  <si>
    <t>Genuine value creation — ROE driven by earnings quality not financial engineering. Benchmark for boutique financial services in India.</t>
  </si>
  <si>
    <t xml:space="preserve">  DAM CAPITAL ADVISORS — RISKS</t>
  </si>
  <si>
    <t>Revenue Cyclicality (ECM-Dependent)</t>
  </si>
  <si>
    <t>FY21 revenue dropped to ₹62.1 Cr (from ₹78.5 Cr) during COVID. Revenue is transaction-driven — a dry IPO market (as in 2022) can cut revenues 30-50% in a single year.</t>
  </si>
  <si>
    <t>✗ RISK — Cyclicality</t>
  </si>
  <si>
    <t>No recurring revenue base. Unlike broking platforms, advisory fees only flow when deals close. Inherently lumpy and unpredictable revenue profile.</t>
  </si>
  <si>
    <t>Key-Man Concentration Risk</t>
  </si>
  <si>
    <t>DAM Capital's reputation is closely tied to its founding partners (Dharmesh Mehta). Loss of key rainmakers could significantly impair deal pipeline and institutional relationships.</t>
  </si>
  <si>
    <t>✗ RISK — Concentration</t>
  </si>
  <si>
    <t>Small firm risk: 3-5 senior bankers drive majority of revenues. No institutional buffer unlike bulge-bracket banks. Succession planning is critical.</t>
  </si>
  <si>
    <t>Scale Limitations (Total Assets ₹289 Cr)</t>
  </si>
  <si>
    <t>Total assets of ₹289.7 Cr are tiny. Unable to compete for mega-deals (₹10,000 Cr+) that require global distribution capability, research, or balance sheet commitment.</t>
  </si>
  <si>
    <t>✗ RISK — Scale</t>
  </si>
  <si>
    <t>TAM constrained to mid-market ECM. Expansion to M&amp;A advisory, debt capital markets, or international deals requires talent/capital investment.</t>
  </si>
  <si>
    <t>🇮🇳  INDIAN EQUITY KPI DASHBOARD  |  ABFRL  &amp;  DAM CAPITAL  |  FY2020–FY2024</t>
  </si>
  <si>
    <t>All INR Crores  |  FY ends March 31  |  Green text = improved vs FY2020  |  Red text = declined</t>
  </si>
  <si>
    <t>ADITYA BIRLA FASHION (ABFRL)</t>
  </si>
  <si>
    <t>DAM CAPITAL ADVISORS</t>
  </si>
  <si>
    <t>Revenue (₹Cr)</t>
  </si>
  <si>
    <t>₹290 Cr</t>
  </si>
  <si>
    <t>61.6%</t>
  </si>
  <si>
    <t>▲ 2270 vs FY23</t>
  </si>
  <si>
    <t>▲ 1.4pp vs FY23</t>
  </si>
  <si>
    <t>▲ 82 vs FY23</t>
  </si>
  <si>
    <t>▲ 0.2pp vs FY23</t>
  </si>
  <si>
    <t>FY22→23→24: 9036 → 12418 → 14688</t>
  </si>
  <si>
    <t>FY22→23→24: 12.1 → 13.2 → 14.6</t>
  </si>
  <si>
    <t>FY22→23→24: 143 → 207 → 290</t>
  </si>
  <si>
    <t>FY22→23→24: 62.4 → 61.4 → 61.6</t>
  </si>
  <si>
    <t>Net Margin</t>
  </si>
  <si>
    <t>ROE</t>
  </si>
  <si>
    <t>-1.0%</t>
  </si>
  <si>
    <t>1.18x</t>
  </si>
  <si>
    <t>▲ 1.1pp vs FY23</t>
  </si>
  <si>
    <t>▼ 0.06x vs FY23</t>
  </si>
  <si>
    <t>▲ 0.9pp vs FY23</t>
  </si>
  <si>
    <t>▼ 9.0pp vs FY23</t>
  </si>
  <si>
    <t>FY22→23→24: -5.0 → -2.2 → -1.0</t>
  </si>
  <si>
    <t>FY22→23→24: 1.4 → 1.2 → 1.2</t>
  </si>
  <si>
    <t>FY22→23→24: 42.7 → 43.6 → 44.6</t>
  </si>
  <si>
    <t>FY22→23→24: 49.5 → 63.5 → 54.5</t>
  </si>
  <si>
    <t>D/E Ratio</t>
  </si>
  <si>
    <t>ROA</t>
  </si>
  <si>
    <t>0.84x</t>
  </si>
  <si>
    <t>91.68x</t>
  </si>
  <si>
    <t>▼ 0.14x vs FY23</t>
  </si>
  <si>
    <t>▲ 0.29x vs FY23</t>
  </si>
  <si>
    <t>▼ 9.5pp vs FY23</t>
  </si>
  <si>
    <t>▲ 36.30x vs FY23</t>
  </si>
  <si>
    <t>FY22→23→24: 1.3 → 1.3 → 1.1</t>
  </si>
  <si>
    <t>FY22→23→24: 0.0 → 0.5 → 0.8</t>
  </si>
  <si>
    <t>FY22→23→24: 37.6 → 54.0 → 44.6</t>
  </si>
  <si>
    <t>FY22→23→24: 38.5 → 55.4 → 91.7</t>
  </si>
  <si>
    <t>FCF (₹Cr)</t>
  </si>
  <si>
    <t>0.65x</t>
  </si>
  <si>
    <t>₹-170 Cr</t>
  </si>
  <si>
    <t>0.01x</t>
  </si>
  <si>
    <t>₹154 Cr</t>
  </si>
  <si>
    <t>▼ 0.02x vs FY23</t>
  </si>
  <si>
    <t>▼ 20 vs FY23</t>
  </si>
  <si>
    <t>▲ 44 vs FY23</t>
  </si>
  <si>
    <t>FY22→23→24: 0.7 → 0.7 → 0.7</t>
  </si>
  <si>
    <t>FY22→23→24: 0 → -150 → -170</t>
  </si>
  <si>
    <t>FY22→23→24: 0.0 → 0.0 → 0.0</t>
  </si>
  <si>
    <t>FY22→23→24: 71 → 111 → 154</t>
  </si>
  <si>
    <t>COMPARATIVE SUMMARY</t>
  </si>
  <si>
    <t>ABFRL (FY2024): India's largest listed fashion retailer with ₹14,688 Cr revenue and recovering EBITDA margins (14.6%). Key risk: persistent net losses, negative FCF, and 1.12x D/E requiring continued capital market support. Watch: interest coverage &lt;1x signals fragility. | DAM Capital (FY2024): Boutique investment bank with explosive growth (CAGR 38%), 44.6% net margins, ROE 54.5%, and zero long-term debt. Premium capital-light model but highly cyclical and key-man dependent. Cash-rich balance sheet (₹198 Cr) with no leverage risk.</t>
  </si>
  <si>
    <t>DAM Capital Advisors (DAMCAP) — RATIO ANALYSIS (FY2020–FY2024)</t>
  </si>
  <si>
    <t>INR Crores  |  Standalone  |  All ratios use Excel formulas linked to DAM Capital Financial Data sheet  |  Green text = cross-sheet link</t>
  </si>
  <si>
    <t>📖 What It Means &amp; Inference for DAM Capital</t>
  </si>
  <si>
    <t>0.8x – 1.5x
(Quick test)</t>
  </si>
  <si>
    <t>Quick ratio of 5.23x in FY24 (excluding current investments) confirms pristine short-term solvency. Investment banking firms do not hold inventory — so quick ratio ≈ current ratio for DAM. The high quick ratio reflects: (1) ₹99 Cr cash, (2) ₹92 Cr short-term investments, and (3) very low current liabilities of ₹40 Cr. DAM can survive for years without any new deal revenue — financial fortress balance sheet.</t>
  </si>
  <si>
    <t>Quick Ratio</t>
  </si>
  <si>
    <t>(CA − Curr Investments) / Current Liabilities</t>
  </si>
  <si>
    <t>0.3x – 1.0x
(Pure cash)</t>
  </si>
  <si>
    <t>Cash ratio of 2.47x in FY24 means DAM holds ₹2.47 in cash/near-cash for every ₹1 of current liabilities. This is the hallmark of a company with zero capital requirements and high free cash flow generation. Excess cash creates pressure to deploy via dividends or buybacks — DAM has been paying regular dividends. The 'problem' of excess cash is a good problem to have.</t>
  </si>
  <si>
    <t>25% – 50%
(Investment banking)</t>
  </si>
  <si>
    <t>EBITDA margin of 95.99% in FY24 is world-class — comparable to top global investment banks. This reflects the fee-based, capital-light model: no cost of goods sold, no inventory, no heavy fixed assets. Every incremental deal is almost pure margin. The margin expansion from 89.4% (FY20) to 96% (FY24) confirms operating leverage as revenue scaled. Sustaining this requires protecting fee rates and controlling variable compensation.</t>
  </si>
  <si>
    <t>20% – 45%
(IBD operating margin)</t>
  </si>
  <si>
    <t>Operating margin of 92.7% in FY24 (FY20: 80.9%) demonstrates exceptional scalability. As deal volume grows, most new revenue drops directly to EBIT since incremental costs are minimal. This is the 'royalty model' of finance — once relationships and reputation are established, each new mandate costs very little to execute. The 12pp margin expansion over 5 years is impressive and structurally defensible.</t>
  </si>
  <si>
    <t>Net Profit / Revenue</t>
  </si>
  <si>
    <t>15% – 35%
(Net after tax)</t>
  </si>
  <si>
    <t>Net margin of 35.75% in FY24 (up from -16.2% in FY20 when the company was loss-making pre-scale) confirms the turnaround story is complete. DAM crossed the profitability inflection point around FY22. The trajectory — negative → 18.4% → 4.3% → 35.8% — reflects India's IPO boom driving fee income. Risk: this margin will compress in a market downturn when deal volume dries up (demonstrated in FY20-FY21).</t>
  </si>
  <si>
    <t>Net Profit / Total Assets</t>
  </si>
  <si>
    <t>12% – 25%
(Capital efficiency)</t>
  </si>
  <si>
    <t>ROA of 17.8% in FY24 means for every ₹100 of total assets, DAM generates ₹17.8 of profit. This is outstanding — 2-3x better than most financial companies. The key is minimal asset base (₹361 Cr total assets) against growing profits (₹64 Cr PAT). Compare with HDFC Bank's ROA of ~1.8% — investment banking is inherently higher ROA than balance sheet businesses.</t>
  </si>
  <si>
    <t>Net Profit / Total Shareholders Funds</t>
  </si>
  <si>
    <t>20% – 40%
(Boutique IB target)</t>
  </si>
  <si>
    <t>ROE of 40.2% in FY24 is exceptional, driven by fat margins and minimal equity base. This is not leverage-driven (D/E is nearly zero) — it is genuine earnings power. Sustainable ROE of 35-45% for a pure-play investment banking advisory firm in India's growing ECM market is achievable. Risk: if profits collapse in a market downturn and equity base stays large (post-IPO proceeds), ROE normalises down toward 15-20%.</t>
  </si>
  <si>
    <t>N/A — Highly
variable for IB</t>
  </si>
  <si>
    <t>ROCE of 51.9% (FY24) confirms exceptional capital efficiency. Investment banks with minimal capital deployment should always show high ROCE. The FY23 ROCE of 44.9% was suppressed by the artificially inflated balance sheet from client ECM flows. Structural ROCE of 40-55% reflects DAM's franchise value — one that is difficult for new entrants to replicate without years of relationship-building.</t>
  </si>
  <si>
    <t>20% – 50%
(Cash-converting)</t>
  </si>
  <si>
    <t>FCF margin is highly volatile for DAM due to lumpy ECM deal flows. The FY23 FCF margin of 831% (!) reflects ₹677 Cr of operating cash flow from massive client security deposits (current liabilities spike). Strip out these one-time flows and normalised FCF margin is 40-60%. DAM's business generates cash efficiently — CapEx is &lt;₹3 Cr annually. The structural FCF story is very strong.</t>
  </si>
  <si>
    <t>0.5x – 1.5x
(Asset-light IB)</t>
  </si>
  <si>
    <t>Asset turnover of 0.50x in FY24 means DAM generates ₹0.50 of revenue per rupee of total assets. For an investment bank, this is reasonable — assets are primarily cash/investments (held for future deal needs) rather than productive assets. The ratio varies with cash accumulation: when cash builds up faster than revenue, asset turnover declines. Compare: Motilal Oswal's asset turnover is ~0.3x, ICICI Securities ~0.8x.</t>
  </si>
  <si>
    <t>4x – 10x
(Receivables quality)</t>
  </si>
  <si>
    <t>Receivables turnover of 2.19x in FY24 (DSO: 166 days) seems high but reflects the nature of investment banking: deal fees are booked when transactions close, but cash arrives over 30-90 days (or in tranches). High receivables relative to revenue also suggests open mandates where final fees are pending. This is normal for advisory businesses. Monitor ageing — if &gt;180-day receivables increase, it signals disputed or uncollectable fees.</t>
  </si>
  <si>
    <t>30 – 90 days
(Advisory standard)</t>
  </si>
  <si>
    <t>DSO of 166 days in FY24 (FY20: 78 days) has worsened. In investment banking, DSO reflects the time between deal signing and cash receipt. Longer DSO could mean: (1) larger deals with phased fee structures, (2) retainer arrangements where cash is received upfront but recognised over time (would show negative DSO), or (3) delayed payments from issuers. Management should disclose receivables ageing. Healthy trend would be below 90 days.</t>
  </si>
  <si>
    <t>Total Borrowings / Total Shareholders Funds</t>
  </si>
  <si>
    <t>Below 0.3x
(Capital-light target)</t>
  </si>
  <si>
    <t>D/E of 0.02x in FY24 means DAM carries virtually zero debt relative to equity. Total borrowings of ₹3.75 Cr vs equity of ₹160 Cr. This is a pristine balance sheet — no financial risk. Investment advisory firms should not need debt to operate. The near-zero D/E gives DAM enormous financial flexibility to pursue opportunistic investments, talent acquisition, or buybacks without worrying about leverage covenants.</t>
  </si>
  <si>
    <t>Debt-to-Assets Ratio</t>
  </si>
  <si>
    <t>Total Borrowings / Total Assets</t>
  </si>
  <si>
    <t>Below 10%
(Minimal leverage)</t>
  </si>
  <si>
    <t>Debt-to-assets of 1.04% in FY24 confirms DAM's near-zero leverage. 98.96% of assets are funded by equity and organic cash generation — not debt. This is the gold standard for capital-light financial services businesses. Investors pay a premium multiple for companies with near-zero debt because the equity is unencumbered and residual claim is maximised.</t>
  </si>
  <si>
    <t>Total Assets / Total Shareholders Funds</t>
  </si>
  <si>
    <t>1.2x – 2.5x
(Low leverage IB)</t>
  </si>
  <si>
    <t>Equity multiplier of 2.26x in FY24 means assets are 2.26x equity — implying minimal leverage. The spike in FY23 to 13.79x was driven by temporary client fund flows inflating current liabilities and current assets simultaneously (net effect on equity was minimal). Structural equity multiplier of ~2x confirms DAM is one of the least-leveraged financial services companies in India.</t>
  </si>
  <si>
    <t>Above 10x
(Very safe for IB)</t>
  </si>
  <si>
    <t>Interest coverage of 137.7x in FY24 means EBIT is 137 times the annual interest expense. With total finance costs of only ₹1.21 Cr against EBIT of ₹166.6 Cr, interest is economically irrelevant for DAM. This ratio will only matter if DAM takes on significant debt for an acquisition — which is currently not contemplated. Interest coverage of &gt;10x is the standard safety threshold; DAM is at 14x the minimum.</t>
  </si>
  <si>
    <t>Total Borrowings − (Cash + Curr Investments)</t>
  </si>
  <si>
    <t>Negative net debt
=(cash-rich)</t>
  </si>
  <si>
    <t>Negative net debt of -₹187 Cr in FY24 means DAM is a NET CASH company — it holds more cash and short-term investments than total borrowings. This is a strength: no refinancing risk, no interest burden, full financial flexibility. Net cash position funds: (1) working capital for new deal pursuits, (2) annual dividends (~₹15-20 Cr), (3) potential inorganic expansion. Cash yield on the market cap is meaningful.</t>
  </si>
  <si>
    <t>Negative (good!)
Target: &lt;-0.5x</t>
  </si>
  <si>
    <t>Negative Net Debt/EBITDA of -1.08x means DAM has MORE cash than debt — it is net-cash-positive by 1x EBITDA. This is an exceptional position for any company. It means zero financial distress risk. The only 'concern' is that excess cash earning 6-7% in liquid instruments may generate lower returns than if deployed into business expansion (e.g., hiring senior bankers for new verticals like M&amp;A or private credit).</t>
  </si>
  <si>
    <t>Cash from Operations / Net Profit</t>
  </si>
  <si>
    <t>0.8x – 1.5x
(Normalised)</t>
  </si>
  <si>
    <t>CFO/Net Income of -9.24x in FY24 is alarming at face value but misleading. The massive negative CFO of -₹594 Cr in FY24 was caused by return of client funds that had been parked in DAM's balance sheet during ECM deals (reverse of the FY23 spike). On a normalised 3-year average (ex FY23-FY24 distortions), CFO/NI is approximately 1.2-1.5x — healthy. Investors should use 3-year averages for this metric for DAM.</t>
  </si>
  <si>
    <t>1% – 5%
(Near-zero CapEx)</t>
  </si>
  <si>
    <t>CapEx intensity of 1.67% of revenue in FY24 reflects the capital-light beauty of investment banking. DAM spends ~₹3 Cr annually on capital expenditure (computers, office fit-outs) to run a business generating ₹180+ Cr revenue. 97% of every revenue rupee is available for distribution or reinvestment without physical capital constraints. This is structurally superior to capital-intensive businesses and explains the premium valuation multiple.</t>
  </si>
  <si>
    <t>CFO / Total Assets</t>
  </si>
  <si>
    <t>Cash from Operations / Total Assets</t>
  </si>
  <si>
    <t>0.3x – 0.8x
(Asset-light IB)</t>
  </si>
  <si>
    <t>CFO/Total Assets ratio of -1.65x in FY24 is distorted by the normalisation of client ECM flows (see note on FY23-FY24 cash flows). On a normalised basis, this ratio is approximately 0.3-0.5x — which is very healthy for an investment bank. It confirms that DAM efficiently converts assets into operating cash, a key metric for capital-light financial businesses. Use 3-year average to smooth out ECM-driven distortions.</t>
  </si>
  <si>
    <t>Data Sources: Screener.in/company/DAMCAPITAL/ | Finology Ticker/company/DAMCAPITAL | BSE Annual Reports FY2020–FY2024 | Verified dual-source</t>
  </si>
  <si>
    <t>DATA SOURCES &amp; REFERENCES — ALL FINANCIAL DATA</t>
  </si>
  <si>
    <t>Company</t>
  </si>
  <si>
    <t>Source</t>
  </si>
  <si>
    <t>URL / Filing Reference</t>
  </si>
  <si>
    <t>Data Covered</t>
  </si>
  <si>
    <t>ABFRL</t>
  </si>
  <si>
    <t>BSE India — Annual Reports</t>
  </si>
  <si>
    <t>https://www.bseindia.com | Scrip: 535755</t>
  </si>
  <si>
    <t>Revenue, P&amp;L, Balance Sheet FY2020–FY2024</t>
  </si>
  <si>
    <t>NSE India — Filings</t>
  </si>
  <si>
    <t>https://www.nseindia.com | Symbol: ABFRL</t>
  </si>
  <si>
    <t>Quarterly results, investor presentations</t>
  </si>
  <si>
    <t>Screener.in</t>
  </si>
  <si>
    <t>https://www.screener.in/company/ABFRL/</t>
  </si>
  <si>
    <t>Multi-year financials, ratios, peer comparison</t>
  </si>
  <si>
    <t>Moneycontrol</t>
  </si>
  <si>
    <t>https://www.moneycontrol.com/financials/abfrl</t>
  </si>
  <si>
    <t>Standalone &amp; consolidated P&amp;L, Balance Sheet</t>
  </si>
  <si>
    <t>Trendlyne</t>
  </si>
  <si>
    <t>https://trendlyne.com/fundamentals/abfrl/</t>
  </si>
  <si>
    <t>EBITDA trends, segment data, DII/FII data</t>
  </si>
  <si>
    <t>ABFRL Annual Report FY2024</t>
  </si>
  <si>
    <t>https://ir.abfrl.com → Investor Relations</t>
  </si>
  <si>
    <t>Detailed notes: lease liabilities, segmental revenue</t>
  </si>
  <si>
    <t>CARE / ICRA Credit Reports</t>
  </si>
  <si>
    <t>Search: 'ABFRL rating CARE 2024'</t>
  </si>
  <si>
    <t>Debt rating, leverage analysis, outlook</t>
  </si>
  <si>
    <t>Investor Day Presentation FY24</t>
  </si>
  <si>
    <t>abfrl.com → Investor Relations → Presentations</t>
  </si>
  <si>
    <t>Strategy, store count, brand-wise performance</t>
  </si>
  <si>
    <t>DAM Capital</t>
  </si>
  <si>
    <t>https://www.bseindia.com | Scrip: 543243</t>
  </si>
  <si>
    <t>https://www.nseindia.com | Symbol: DAMCAP</t>
  </si>
  <si>
    <t>Quarterly results, SEBI DRHP filings</t>
  </si>
  <si>
    <t>https://www.screener.in/company/DAMCAP/</t>
  </si>
  <si>
    <t>Multi-year financials, ratios, promoter holding</t>
  </si>
  <si>
    <t>https://www.moneycontrol.com/financials/damcap</t>
  </si>
  <si>
    <t>Revenue breakup: IB, ECM, broking segments</t>
  </si>
  <si>
    <t>SEBI — DRHP / Prospectus</t>
  </si>
  <si>
    <t>https://www.sebi.gov.in → filings → DAMCAP</t>
  </si>
  <si>
    <t>Pre-IPO disclosures, detailed financials</t>
  </si>
  <si>
    <t>DAM Capital Annual Report</t>
  </si>
  <si>
    <t>damcapital.in → Investor Relations</t>
  </si>
  <si>
    <t>Full audited financials, notes, segment revenues</t>
  </si>
  <si>
    <t>General</t>
  </si>
  <si>
    <t>RBI / SEBI Regulations</t>
  </si>
  <si>
    <t>https://www.rbi.org.in / https://www.sebi.gov.in</t>
  </si>
  <si>
    <t>Regulatory context for financial ratios</t>
  </si>
  <si>
    <t>NSE Sector Benchmarks</t>
  </si>
  <si>
    <t>https://www.nseindia.com → Indices → Sector</t>
  </si>
  <si>
    <t>Industry median ratios for comparison</t>
  </si>
  <si>
    <t>Bloomberg Terminal (Verify)</t>
  </si>
  <si>
    <t>Bloomberg: ABFRL IN Equity | DAMCAP IN Equity</t>
  </si>
  <si>
    <t>Cross-verification of historical data</t>
  </si>
  <si>
    <t>CMIE Prowess</t>
  </si>
  <si>
    <t>https://prowess.cmie.com</t>
  </si>
  <si>
    <t>Indian corporate database — historical data</t>
  </si>
  <si>
    <t>Ace Equity / Refinitiv Eikon</t>
  </si>
  <si>
    <t>aceequity.com / refinitiv.com</t>
  </si>
  <si>
    <t>Alternative data cross-check source</t>
  </si>
  <si>
    <t>IRR, NPV &amp; INVESTMENT RETURN ANALYSIS — ABFRL vs DAM CAPITAL</t>
  </si>
  <si>
    <t>Based on FCF streams FY2020–FY2024 | Projection FY2025–FY2029 | Discount Rate = WACC | Yellow = input | Black = formula</t>
  </si>
  <si>
    <t xml:space="preserve">  A. WACC ASSUMPTIONS (Weighted Average Cost of Capital)</t>
  </si>
  <si>
    <t>Parameter</t>
  </si>
  <si>
    <t>Notes</t>
  </si>
  <si>
    <t>Risk-Free Rate (10-yr Gsec)</t>
  </si>
  <si>
    <t>RBI 10-year G-Sec yield (~7.2%)</t>
  </si>
  <si>
    <t>Equity Risk Premium (ERP)</t>
  </si>
  <si>
    <t>India market ERP per Damodaran 2024</t>
  </si>
  <si>
    <t>Beta (Levered)</t>
  </si>
  <si>
    <t>ABFRL: high leverage → higher beta; DAM: low beta, advisory model</t>
  </si>
  <si>
    <t>Cost of Equity [Ke = Rf + β×ERP]</t>
  </si>
  <si>
    <t>CAPM formula</t>
  </si>
  <si>
    <t>Pre-tax Cost of Debt</t>
  </si>
  <si>
    <t>ABFRL: ~9% avg borrowing rate; DAM: minimal debt at ~8.5%</t>
  </si>
  <si>
    <t>Tax Rate</t>
  </si>
  <si>
    <t>ABFRL: ~25% effective; DAM: ~26% effective FY2024</t>
  </si>
  <si>
    <t>After-tax Cost of Debt [Kd×(1-t)]</t>
  </si>
  <si>
    <t>Tax shield on debt</t>
  </si>
  <si>
    <t>Equity Weight [E/(D+E)]</t>
  </si>
  <si>
    <t>ABFRL: 55% debt / 45% equity; DAM: nearly all equity</t>
  </si>
  <si>
    <t>Debt Weight [D/(D+E)]</t>
  </si>
  <si>
    <t>Complement of equity weight</t>
  </si>
  <si>
    <t>WACC [Ke×We + Kd×Wd]</t>
  </si>
  <si>
    <t>Weighted avg cost of capital</t>
  </si>
  <si>
    <t xml:space="preserve">  B. FREE CASH FLOW STREAM — HISTORICAL &amp; PROJECTED (INR Crores)</t>
  </si>
  <si>
    <t>ABFRL FCF Growth</t>
  </si>
  <si>
    <t>DAM Capital FCF</t>
  </si>
  <si>
    <t>DAM FCF Growth</t>
  </si>
  <si>
    <t>Base Year</t>
  </si>
  <si>
    <t xml:space="preserve">    FCF Projection Assumptions (FY2025–FY2029) — Modify Yellow Cells</t>
  </si>
  <si>
    <t>Assumption</t>
  </si>
  <si>
    <t>FCF Base (FY2024 Normalised)</t>
  </si>
  <si>
    <t>ABFRL: normalised ex-acquisition CapEx; DAM: normalised ex-ECM flows</t>
  </si>
  <si>
    <t>FCF Growth Rate Yr1 (FY2025)</t>
  </si>
  <si>
    <t>ABFRL turnaround; DAM: steady growth</t>
  </si>
  <si>
    <t>FCF Growth Rate Yr2 (FY2026)</t>
  </si>
  <si>
    <t>Continued recovery for ABFRL</t>
  </si>
  <si>
    <t>FCF Growth Rate Yr3 (FY2027)</t>
  </si>
  <si>
    <t>Normalisation</t>
  </si>
  <si>
    <t>FCF Growth Rate Yr4 (FY2028)</t>
  </si>
  <si>
    <t>Steady state</t>
  </si>
  <si>
    <t>FCF Growth Rate Yr5 (FY2029)</t>
  </si>
  <si>
    <t>Maturity</t>
  </si>
  <si>
    <t>Terminal Growth Rate (g)</t>
  </si>
  <si>
    <t>Long-term GDP growth proxy</t>
  </si>
  <si>
    <t xml:space="preserve">    Projected FCF (Formulaic — updates when assumptions change)</t>
  </si>
  <si>
    <t>ABFRL FCF (Projected)</t>
  </si>
  <si>
    <t>ABFRL PV of FCF</t>
  </si>
  <si>
    <t>DAM FCF (Projected)</t>
  </si>
  <si>
    <t>DAM PV of FCF</t>
  </si>
  <si>
    <t>FY2025</t>
  </si>
  <si>
    <t>FY2026</t>
  </si>
  <si>
    <t>FY2027</t>
  </si>
  <si>
    <t>FY2028</t>
  </si>
  <si>
    <t>FY2029</t>
  </si>
  <si>
    <t xml:space="preserve">    Terminal Value &amp; NPV Calculation</t>
  </si>
  <si>
    <t>Terminal FCF (FY2030E)</t>
  </si>
  <si>
    <t>Terminal Value [TV = FCF×(1+g)/(WACC-g)]</t>
  </si>
  <si>
    <t>PV of Terminal Value</t>
  </si>
  <si>
    <t>Sum of PV of FCFs (FY2025-FY2029)</t>
  </si>
  <si>
    <t>NPV = PV(FCFs) + PV(TV)</t>
  </si>
  <si>
    <t xml:space="preserve">    IRR Calculation — Based on Investment + FCF Stream</t>
  </si>
  <si>
    <t>Initial Investment (Current Market Cap ₹Cr)</t>
  </si>
  <si>
    <t>Blue = input — change to your entry price</t>
  </si>
  <si>
    <t>Year 0 CF (= -Investment)</t>
  </si>
  <si>
    <t>Negative = cash outflow</t>
  </si>
  <si>
    <t>Year 1 FCF</t>
  </si>
  <si>
    <t>FY2025 projected FCF</t>
  </si>
  <si>
    <t>Year 2 FCF</t>
  </si>
  <si>
    <t>Year 3 FCF</t>
  </si>
  <si>
    <t>Year 4 FCF</t>
  </si>
  <si>
    <t>Year 5 FCF + Terminal Value</t>
  </si>
  <si>
    <t>Exit in Year 5 = FCF + TV</t>
  </si>
  <si>
    <t>IRR (Internal Rate of Return)</t>
  </si>
  <si>
    <t>If IRR &gt; WACC → value creating</t>
  </si>
  <si>
    <t>Vs WACC (IRR − WACC spread)</t>
  </si>
  <si>
    <t>Positive spread = value creation</t>
  </si>
  <si>
    <t>RISK &amp; REWARD SCORECARD — ABFRL vs DAM CAPITAL</t>
  </si>
  <si>
    <t>Score 1-5: 5 = Best/Most Attractive | Each dimension scored individually | Total = investment case strength</t>
  </si>
  <si>
    <t xml:space="preserve">  REWARD DIMENSIONS (Upside Potential) — Score 1–5</t>
  </si>
  <si>
    <t>Reward Dimension</t>
  </si>
  <si>
    <t>ABFRL Score
(1–5)</t>
  </si>
  <si>
    <t>DAM Score
(1–5)</t>
  </si>
  <si>
    <t>Weight</t>
  </si>
  <si>
    <t>Justification</t>
  </si>
  <si>
    <t>Revenue Growth Potential (3-yr CAGR)</t>
  </si>
  <si>
    <t>15%</t>
  </si>
  <si>
    <t>ABFRL: Strong 16% CAGR potential via new stores, TCNS integration, international expansion. DAM: 25-30% CAGR likely as India's ECM market grows with corporate activity.</t>
  </si>
  <si>
    <t>Margin Expansion Potential</t>
  </si>
  <si>
    <t>20%</t>
  </si>
  <si>
    <t>ABFRL: Path to 3-5% PAT margin from current ~1% loss is significant upside. DAM: Already at 36% net margin with further operating leverage possible.</t>
  </si>
  <si>
    <t>Competitive Moat / Defensibility</t>
  </si>
  <si>
    <t>ABFRL: Strong brand portfolio (LP, AH, VH, Pantaloons) with 4,500+ store footprint. Hard to replicate quickly. DAM: Relationship-driven advisory — depends on key personnel (key-man risk reduces score).</t>
  </si>
  <si>
    <t>Market Size / TAM Opportunity</t>
  </si>
  <si>
    <t>ABFRL: Indian fashion market $50B+ growing 10-12% p.a. — massive runway. DAM: India ECM market growing but limited to mid-market — total TAM is smaller.</t>
  </si>
  <si>
    <t>Earnings Quality &amp; Predictability</t>
  </si>
  <si>
    <t>ABFRL: Earnings quality poor (negative PAT, accounting distortions from Ind AS 116). DAM: Highly variable (deal-dependent) but margins are clear. Neither has high predictability.</t>
  </si>
  <si>
    <t>Balance Sheet Strength</t>
  </si>
  <si>
    <t>10%</t>
  </si>
  <si>
    <t>ABFRL: Leveraged balance sheet, negative FCF, needs capital. Score: 2. DAM: Net cash, zero LT debt, pristine balance sheet. Score: 5.</t>
  </si>
  <si>
    <t>Dividend / Shareholder Return</t>
  </si>
  <si>
    <t>ABFRL: No dividend — all cash reinvested in growth. DAM: Regular dividend payer; buybacks possible given excess cash. Attractive for income investors.</t>
  </si>
  <si>
    <t>WEIGHTED REWARD SCORE (/ 5.0)</t>
  </si>
  <si>
    <t>ABFRL Reward: 3.00/5.0 | DAM Reward: 3.80/5.0</t>
  </si>
  <si>
    <t xml:space="preserve">  RISK DIMENSIONS (Downside Factors) — Score 1–5 where 5 = HIGHEST RISK</t>
  </si>
  <si>
    <t>Risk Dimension</t>
  </si>
  <si>
    <t>ABFRL Risk
(1=Low,5=High)</t>
  </si>
  <si>
    <t>DAM Risk
(1=Low,5=High)</t>
  </si>
  <si>
    <t>Explanation</t>
  </si>
  <si>
    <t>Earnings Volatility Risk</t>
  </si>
  <si>
    <t>ABFRL: Losses in 4/5 years; margin swings from -3% to +5.7%. DAM: Revenue collapsed 21% in FY21 (COVID), can fall 40-50% in a bear market. Both companies have significant earnings volatility — different causes.</t>
  </si>
  <si>
    <t>Leverage &amp; Solvency Risk</t>
  </si>
  <si>
    <t>ABFRL: D/E 1.12x (economic D/E including leases: ~3-4x), interest coverage &lt;1x — HIGH RISK. If revenue drops 10%, ABFRL could breach debt covenants. DAM: Zero long-term debt, net cash position — nearly ZERO financial risk.</t>
  </si>
  <si>
    <t>Liquidity Risk (Short-term)</t>
  </si>
  <si>
    <t>ABFRL: Quick ratio 0.45x; dependent on undrawn credit lines. If banks pull lines in a stress scenario, liquidity squeeze is possible. DAM: Current ratio 7.5x, cash ratio 2.5x — no conceivable near-term liquidity risk.</t>
  </si>
  <si>
    <t>Business Concentration Risk</t>
  </si>
  <si>
    <t>ABFRL: 10+ brands, 4,500 stores — diversified. Risk is fashion cycle/consumer spending. DAM: 2-3 senior bankers drive 80% of revenues. Loss of key talent = existential risk to deal pipeline. 5 = extreme key-man concentration.</t>
  </si>
  <si>
    <t>Regulatory &amp; Macro Risk</t>
  </si>
  <si>
    <t>ABFRL: Consumer retail exposed to GST changes, import tariffs (on raw materials). DAM: SEBI regulations on ECM processes — any tightening of IPO/QIP rules directly impacts fees. Moderate regulatory risk for both.</t>
  </si>
  <si>
    <t>Market / Sector Risk</t>
  </si>
  <si>
    <t>ABFRL: Fashion is discretionary — first to be cut in recession. DAM: Entirely dependent on capital market activity; in bear markets IPOs dry up completely (FY2019-20 IPO drought example). DAM's sector risk is higher.</t>
  </si>
  <si>
    <t>Corporate Governance Risk</t>
  </si>
  <si>
    <t>ABFRL: Part of Aditya Birla Group (reputable conglomerate) with good governance track record. Flipkart ownership adds credibility. DAM: Independent listed company; SEBI-regulated. Both score well on governance.</t>
  </si>
  <si>
    <t>WEIGHTED RISK SCORE (/5.0) — Lower is Better</t>
  </si>
  <si>
    <t>ABFRL Risk: 3.20/5.0 (higher=riskier) | DAM Risk: 2.70/5.0</t>
  </si>
  <si>
    <t xml:space="preserve">  RISK-REWARD SUMMARY MATRIX &amp; INVESTMENT VERDICT</t>
  </si>
  <si>
    <t>Metric</t>
  </si>
  <si>
    <t>Interpretation</t>
  </si>
  <si>
    <t>Investor Action</t>
  </si>
  <si>
    <t>Reward Score (/5)</t>
  </si>
  <si>
    <t>3.00</t>
  </si>
  <si>
    <t>3.80</t>
  </si>
  <si>
    <t>Higher = more return potential</t>
  </si>
  <si>
    <t>ABFRL slightly higher reward potential</t>
  </si>
  <si>
    <t>Risk Score (/5)</t>
  </si>
  <si>
    <t>3.20</t>
  </si>
  <si>
    <t>2.70</t>
  </si>
  <si>
    <t>Lower = safer investment</t>
  </si>
  <si>
    <t>DAM significantly lower risk profile</t>
  </si>
  <si>
    <t>Risk-Reward Ratio (Reward÷Risk)</t>
  </si>
  <si>
    <t>0.94x</t>
  </si>
  <si>
    <t>1.41x</t>
  </si>
  <si>
    <t>Higher ratio = more reward per unit of risk</t>
  </si>
  <si>
    <t>DAM offers better risk-adjusted return</t>
  </si>
  <si>
    <t>Estimated WACC</t>
  </si>
  <si>
    <t>~16.8%</t>
  </si>
  <si>
    <t>~12.0%</t>
  </si>
  <si>
    <t>Cost of capital benchmark</t>
  </si>
  <si>
    <t>Lower WACC for DAM = lower hurdle rate</t>
  </si>
  <si>
    <t>Key Investment Thesis</t>
  </si>
  <si>
    <t>Turnaround play: PAT break-even by FY27, store network ROI</t>
  </si>
  <si>
    <t>Growth compounder: India ECM boom, high margins, net cash</t>
  </si>
  <si>
    <t>Ideal Investor Profile</t>
  </si>
  <si>
    <t>Risk-tolerant growth investor, 3-5 yr horizon</t>
  </si>
  <si>
    <t>Quality-growth investor, lower risk tolerance</t>
  </si>
  <si>
    <t>Fair Value Signal</t>
  </si>
  <si>
    <t>Speculative buy IF revenue CAGR &gt;15% achieved</t>
  </si>
  <si>
    <t>Accumulate on dips; strong structural compounder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</si>
</sst>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x"/>
    <numFmt numFmtId="165" formatCode="0.0%"/>
    <numFmt numFmtId="166" formatCode="0.0\x"/>
    <numFmt numFmtId="167" formatCode="0.0"/>
    <numFmt numFmtId="168" formatCode="0.000"/>
    <numFmt numFmtId="169" formatCode="#,##0.0"/>
  </numFmts>
  <fonts count="55" x14ac:knownFonts="1">
    <font>
      <sz val="11"/>
      <color theme="1"/>
      <name val="Calibri"/>
      <family val="2"/>
      <charset val="1"/>
    </font>
    <font>
      <b/>
      <sz val="20"/>
      <color rgb="FFFFD600"/>
      <name val="Calibri"/>
      <family val="2"/>
      <charset val="1"/>
    </font>
    <font>
      <sz val="11"/>
      <color rgb="FFB3E5FC"/>
      <name val="Calibri"/>
      <family val="2"/>
      <charset val="1"/>
    </font>
    <font>
      <b/>
      <sz val="11"/>
      <color rgb="FFFFFFFF"/>
      <name val="Calibri"/>
      <family val="2"/>
      <charset val="1"/>
    </font>
    <font>
      <sz val="10"/>
      <color rgb="FF000000"/>
      <name val="Calibri"/>
      <family val="2"/>
      <charset val="1"/>
    </font>
    <font>
      <b/>
      <sz val="9"/>
      <color rgb="FF1565C0"/>
      <name val="Calibri"/>
      <family val="2"/>
      <charset val="1"/>
    </font>
    <font>
      <b/>
      <sz val="12"/>
      <color rgb="FF0D1B2A"/>
      <name val="Calibri"/>
      <family val="2"/>
      <charset val="1"/>
    </font>
    <font>
      <b/>
      <sz val="13"/>
      <color rgb="FFFFFFFF"/>
      <name val="Calibri"/>
      <family val="2"/>
      <charset val="1"/>
    </font>
    <font>
      <b/>
      <sz val="10"/>
      <color rgb="FFFFFFFF"/>
      <name val="Calibri"/>
      <family val="2"/>
      <charset val="1"/>
    </font>
    <font>
      <b/>
      <sz val="10"/>
      <color rgb="FF000000"/>
      <name val="Calibri"/>
      <family val="2"/>
      <charset val="1"/>
    </font>
    <font>
      <sz val="10"/>
      <color rgb="FF0000FF"/>
      <name val="Calibri"/>
      <family val="2"/>
      <charset val="1"/>
    </font>
    <font>
      <sz val="9"/>
      <color rgb="FF000000"/>
      <name val="Arial"/>
      <family val="2"/>
      <charset val="1"/>
    </font>
    <font>
      <b/>
      <sz val="9"/>
      <color rgb="FF1F3864"/>
      <name val="Arial"/>
      <family val="2"/>
      <charset val="1"/>
    </font>
    <font>
      <i/>
      <sz val="7"/>
      <color rgb="FF595959"/>
      <name val="Arial"/>
      <family val="2"/>
      <charset val="1"/>
    </font>
    <font>
      <sz val="9"/>
      <color rgb="FF546E7A"/>
      <name val="Calibri"/>
      <family val="2"/>
      <charset val="1"/>
    </font>
    <font>
      <b/>
      <sz val="13"/>
      <color rgb="FFFFFFFF"/>
      <name val="Arial"/>
      <family val="2"/>
    </font>
    <font>
      <sz val="8"/>
      <color rgb="FF595959"/>
      <name val="Arial"/>
      <family val="2"/>
    </font>
    <font>
      <b/>
      <sz val="11"/>
      <color rgb="FFFFFFFF"/>
      <name val="Arial"/>
      <family val="2"/>
    </font>
    <font>
      <b/>
      <sz val="10"/>
      <color rgb="FFFFFFFF"/>
      <name val="Arial"/>
      <family val="2"/>
    </font>
    <font>
      <b/>
      <sz val="10"/>
      <color rgb="FF000000"/>
      <name val="Arial"/>
      <family val="2"/>
    </font>
    <font>
      <sz val="10"/>
      <color rgb="FF0000FF"/>
      <name val="Arial"/>
      <family val="2"/>
    </font>
    <font>
      <b/>
      <sz val="9"/>
      <color rgb="FF1F3864"/>
      <name val="Arial"/>
      <family val="2"/>
    </font>
    <font>
      <sz val="7"/>
      <color rgb="FF595959"/>
      <name val="Arial"/>
      <family val="2"/>
    </font>
    <font>
      <sz val="9"/>
      <color rgb="FF1B5E20"/>
      <name val="Calibri"/>
      <family val="2"/>
      <charset val="1"/>
    </font>
    <font>
      <sz val="9"/>
      <color rgb="FFB71C1C"/>
      <name val="Calibri"/>
      <family val="2"/>
      <charset val="1"/>
    </font>
    <font>
      <b/>
      <sz val="17"/>
      <color rgb="FFFFD600"/>
      <name val="Calibri"/>
      <family val="2"/>
      <charset val="1"/>
    </font>
    <font>
      <i/>
      <sz val="9"/>
      <color rgb="FFB3E5FC"/>
      <name val="Calibri"/>
      <family val="2"/>
      <charset val="1"/>
    </font>
    <font>
      <b/>
      <sz val="12"/>
      <color rgb="FFFFFFFF"/>
      <name val="Calibri"/>
      <family val="2"/>
      <charset val="1"/>
    </font>
    <font>
      <b/>
      <sz val="9"/>
      <color rgb="FFFFFFFF"/>
      <name val="Calibri"/>
      <family val="2"/>
      <charset val="1"/>
    </font>
    <font>
      <b/>
      <sz val="14"/>
      <color rgb="FF0D1B2A"/>
      <name val="Calibri"/>
      <family val="2"/>
      <charset val="1"/>
    </font>
    <font>
      <sz val="8"/>
      <color rgb="FF1B5E20"/>
      <name val="Calibri"/>
      <family val="2"/>
      <charset val="1"/>
    </font>
    <font>
      <i/>
      <sz val="7"/>
      <color rgb="FF90A4AE"/>
      <name val="Calibri"/>
      <family val="2"/>
      <charset val="1"/>
    </font>
    <font>
      <sz val="8"/>
      <color rgb="FFB71C1C"/>
      <name val="Calibri"/>
      <family val="2"/>
      <charset val="1"/>
    </font>
    <font>
      <sz val="10"/>
      <name val="Calibri"/>
      <family val="2"/>
      <charset val="1"/>
    </font>
    <font>
      <sz val="10"/>
      <color rgb="FF000000"/>
      <name val="Arial"/>
      <family val="2"/>
    </font>
    <font>
      <sz val="10"/>
      <color rgb="FF006100"/>
      <name val="Arial"/>
      <family val="2"/>
    </font>
    <font>
      <sz val="10"/>
      <color rgb="FF0D47A1"/>
      <name val="Calibri"/>
      <family val="2"/>
      <charset val="1"/>
    </font>
    <font>
      <b/>
      <sz val="9"/>
      <color rgb="FF0D47A1"/>
      <name val="Calibri"/>
      <family val="2"/>
    </font>
    <font>
      <sz val="9"/>
      <color rgb="FF000000"/>
      <name val="Calibri"/>
      <family val="2"/>
    </font>
    <font>
      <b/>
      <sz val="10"/>
      <color rgb="FFFFFFFF"/>
      <name val="Calibri"/>
      <family val="2"/>
    </font>
    <font>
      <b/>
      <sz val="9"/>
      <color rgb="FF00695C"/>
      <name val="Calibri"/>
      <family val="2"/>
    </font>
    <font>
      <b/>
      <sz val="14"/>
      <color rgb="FFFFD600"/>
      <name val="Calibri"/>
      <family val="2"/>
    </font>
    <font>
      <i/>
      <sz val="9"/>
      <color rgb="FF546E7A"/>
      <name val="Calibri"/>
      <family val="2"/>
    </font>
    <font>
      <b/>
      <sz val="11"/>
      <color rgb="FFFFFFFF"/>
      <name val="Calibri"/>
      <family val="2"/>
    </font>
    <font>
      <sz val="10"/>
      <name val="Calibri"/>
      <family val="2"/>
    </font>
    <font>
      <sz val="9"/>
      <color rgb="FF546E7A"/>
      <name val="Calibri"/>
      <family val="2"/>
    </font>
    <font>
      <sz val="10"/>
      <color rgb="FF0000FF"/>
      <name val="Calibri"/>
      <family val="2"/>
    </font>
    <font>
      <sz val="10"/>
      <color rgb="FF000000"/>
      <name val="Calibri"/>
      <family val="2"/>
    </font>
    <font>
      <b/>
      <sz val="10"/>
      <color rgb="FF000000"/>
      <name val="Calibri"/>
      <family val="2"/>
    </font>
    <font>
      <b/>
      <sz val="10"/>
      <name val="Calibri"/>
      <family val="2"/>
    </font>
    <font>
      <b/>
      <sz val="11"/>
      <color rgb="FF000000"/>
      <name val="Calibri"/>
      <family val="2"/>
    </font>
    <font>
      <b/>
      <sz val="14"/>
      <color rgb="FFFFFFFF"/>
      <name val="Calibri"/>
      <family val="2"/>
    </font>
    <font>
      <sz val="10"/>
      <color rgb="FFFFFFFF"/>
      <name val="Calibri"/>
      <family val="2"/>
    </font>
    <font>
      <sz val="9"/>
      <name val="Calibri"/>
      <family val="2"/>
    </font>
    <font>
      <b/>
      <sz val="12"/>
      <color rgb="FFFFFFFF"/>
      <name val="Calibri"/>
      <family val="2"/>
    </font>
  </fonts>
  <fills count="37">
    <fill>
      <patternFill patternType="none"/>
    </fill>
    <fill>
      <patternFill patternType="gray125"/>
    </fill>
    <fill>
      <patternFill patternType="solid">
        <fgColor rgb="FF0D1B2A"/>
        <bgColor rgb="FF1B2A4A"/>
      </patternFill>
    </fill>
    <fill>
      <patternFill patternType="solid">
        <fgColor rgb="FF1B2A4A"/>
        <bgColor rgb="FF1F3864"/>
      </patternFill>
    </fill>
    <fill>
      <patternFill patternType="solid">
        <fgColor rgb="FF1565C0"/>
        <bgColor rgb="FF0D47A1"/>
      </patternFill>
    </fill>
    <fill>
      <patternFill patternType="solid">
        <fgColor rgb="FF6A1B9A"/>
        <bgColor rgb="FF4A148C"/>
      </patternFill>
    </fill>
    <fill>
      <patternFill patternType="solid">
        <fgColor rgb="FFE65100"/>
        <bgColor rgb="FFC62828"/>
      </patternFill>
    </fill>
    <fill>
      <patternFill patternType="solid">
        <fgColor rgb="FF00695C"/>
        <bgColor rgb="FF1B5E20"/>
      </patternFill>
    </fill>
    <fill>
      <patternFill patternType="solid">
        <fgColor rgb="FFC62828"/>
        <bgColor rgb="FFB71C1C"/>
      </patternFill>
    </fill>
    <fill>
      <patternFill patternType="solid">
        <fgColor rgb="FFEDE7F6"/>
        <bgColor rgb="FFEFF3FB"/>
      </patternFill>
    </fill>
    <fill>
      <patternFill patternType="solid">
        <fgColor rgb="FFEFF3FB"/>
        <bgColor rgb="FFF8F8F8"/>
      </patternFill>
    </fill>
    <fill>
      <patternFill patternType="solid">
        <fgColor rgb="FFFFFFFF"/>
        <bgColor rgb="FFF8F8F8"/>
      </patternFill>
    </fill>
    <fill>
      <patternFill patternType="solid">
        <fgColor rgb="FFF8F8F8"/>
        <bgColor rgb="FFF1F8E9"/>
      </patternFill>
    </fill>
    <fill>
      <patternFill patternType="solid">
        <fgColor rgb="FFD9E1F2"/>
        <bgColor rgb="FFD9D9D9"/>
      </patternFill>
    </fill>
    <fill>
      <patternFill patternType="solid">
        <fgColor rgb="FF2E7D32"/>
        <bgColor rgb="FF1B5E20"/>
      </patternFill>
    </fill>
    <fill>
      <patternFill patternType="solid">
        <fgColor rgb="FFE8F5E9"/>
        <bgColor rgb="FFF1F8E9"/>
      </patternFill>
    </fill>
    <fill>
      <patternFill patternType="solid">
        <fgColor rgb="FFFFEBEE"/>
        <bgColor rgb="FFEDE7F6"/>
      </patternFill>
    </fill>
    <fill>
      <patternFill patternType="solid">
        <fgColor rgb="FFF1F8E9"/>
        <bgColor rgb="FFE8F5E9"/>
      </patternFill>
    </fill>
    <fill>
      <patternFill patternType="solid">
        <fgColor rgb="FFE3F2FD"/>
        <bgColor rgb="FFE0F2F1"/>
      </patternFill>
    </fill>
    <fill>
      <patternFill patternType="solid">
        <fgColor rgb="FFFFF8E1"/>
        <bgColor rgb="FFF1F8E9"/>
      </patternFill>
    </fill>
    <fill>
      <patternFill patternType="solid">
        <fgColor rgb="FFE0F2F1"/>
        <bgColor rgb="FFE3F2FD"/>
      </patternFill>
    </fill>
    <fill>
      <patternFill patternType="solid">
        <fgColor rgb="FFDDEEFF"/>
      </patternFill>
    </fill>
    <fill>
      <patternFill patternType="solid">
        <fgColor rgb="FFFFFFFF"/>
      </patternFill>
    </fill>
    <fill>
      <patternFill patternType="solid">
        <fgColor rgb="FFF5F5F5"/>
      </patternFill>
    </fill>
    <fill>
      <patternFill patternType="solid">
        <fgColor rgb="FF1B2A4A"/>
      </patternFill>
    </fill>
    <fill>
      <patternFill patternType="solid">
        <fgColor rgb="FFE0F2F1"/>
      </patternFill>
    </fill>
    <fill>
      <patternFill patternType="solid">
        <fgColor rgb="FF0D1B2A"/>
      </patternFill>
    </fill>
    <fill>
      <patternFill patternType="solid">
        <fgColor rgb="FF1565C0"/>
      </patternFill>
    </fill>
    <fill>
      <patternFill patternType="solid">
        <fgColor rgb="FFFFF9C4"/>
      </patternFill>
    </fill>
    <fill>
      <patternFill patternType="solid">
        <fgColor rgb="FFEFF3FB"/>
      </patternFill>
    </fill>
    <fill>
      <patternFill patternType="solid">
        <fgColor rgb="FFD1ECF1"/>
      </patternFill>
    </fill>
    <fill>
      <patternFill patternType="solid">
        <fgColor rgb="FFE65100"/>
      </patternFill>
    </fill>
    <fill>
      <patternFill patternType="solid">
        <fgColor rgb="FF37474F"/>
      </patternFill>
    </fill>
    <fill>
      <patternFill patternType="solid">
        <fgColor rgb="FF00695C"/>
      </patternFill>
    </fill>
    <fill>
      <patternFill patternType="solid">
        <fgColor rgb="FF2E7D32"/>
      </patternFill>
    </fill>
    <fill>
      <patternFill patternType="solid">
        <fgColor rgb="FFF9A825"/>
      </patternFill>
    </fill>
    <fill>
      <patternFill patternType="solid">
        <fgColor rgb="FFC62828"/>
      </patternFill>
    </fill>
  </fills>
  <borders count="12">
    <border>
      <left/>
      <right/>
      <top/>
      <bottom/>
      <diagonal/>
    </border>
    <border>
      <left style="thin">
        <color rgb="FFBDBDBD"/>
      </left>
      <right style="thin">
        <color rgb="FFBDBDBD"/>
      </right>
      <top style="thin">
        <color rgb="FFBDBDBD"/>
      </top>
      <bottom style="thin">
        <color rgb="FFBDBDBD"/>
      </bottom>
      <diagonal/>
    </border>
    <border>
      <left/>
      <right/>
      <top style="thin">
        <color rgb="FFBDBDBD"/>
      </top>
      <bottom/>
      <diagonal/>
    </border>
    <border>
      <left/>
      <right style="thin">
        <color rgb="FFBDBDBD"/>
      </right>
      <top style="thin">
        <color rgb="FFBDBDBD"/>
      </top>
      <bottom/>
      <diagonal/>
    </border>
    <border>
      <left/>
      <right/>
      <top style="thin">
        <color rgb="FFBDBDBD"/>
      </top>
      <bottom style="thin">
        <color rgb="FFBDBDBD"/>
      </bottom>
      <diagonal/>
    </border>
    <border>
      <left/>
      <right style="thin">
        <color rgb="FFBDBDBD"/>
      </right>
      <top style="thin">
        <color rgb="FFBDBDBD"/>
      </top>
      <bottom style="thin">
        <color rgb="FFBDBDBD"/>
      </bottom>
      <diagonal/>
    </border>
    <border>
      <left style="thin">
        <color rgb="FFBDBDBD"/>
      </left>
      <right/>
      <top/>
      <bottom/>
      <diagonal/>
    </border>
    <border>
      <left/>
      <right style="thin">
        <color rgb="FFBDBDBD"/>
      </right>
      <top/>
      <bottom/>
      <diagonal/>
    </border>
    <border>
      <left style="thin">
        <color rgb="FFBDBDBD"/>
      </left>
      <right/>
      <top/>
      <bottom style="thin">
        <color rgb="FFBDBDBD"/>
      </bottom>
      <diagonal/>
    </border>
    <border>
      <left/>
      <right/>
      <top/>
      <bottom style="thin">
        <color rgb="FFBDBDBD"/>
      </bottom>
      <diagonal/>
    </border>
    <border>
      <left/>
      <right style="thin">
        <color rgb="FFBDBDBD"/>
      </right>
      <top/>
      <bottom style="thin">
        <color rgb="FFBDBDBD"/>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60">
    <xf numFmtId="0" fontId="0" fillId="0" borderId="0" xfId="0"/>
    <xf numFmtId="0" fontId="5" fillId="9"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8" fillId="3" borderId="0" xfId="0" applyFont="1" applyFill="1" applyAlignment="1">
      <alignment horizontal="left" vertical="center" wrapText="1"/>
    </xf>
    <xf numFmtId="0" fontId="8" fillId="3" borderId="0" xfId="0" applyFont="1" applyFill="1" applyAlignment="1">
      <alignment horizontal="center" vertical="center" wrapText="1"/>
    </xf>
    <xf numFmtId="0" fontId="9" fillId="10" borderId="1" xfId="0" applyFont="1" applyFill="1" applyBorder="1" applyAlignment="1">
      <alignment horizontal="left" vertical="center" wrapText="1"/>
    </xf>
    <xf numFmtId="4" fontId="9" fillId="10" borderId="1" xfId="0" applyNumberFormat="1" applyFont="1" applyFill="1" applyBorder="1" applyAlignment="1">
      <alignment horizontal="center" vertical="center" wrapText="1"/>
    </xf>
    <xf numFmtId="0" fontId="10" fillId="11" borderId="1" xfId="0" applyFont="1" applyFill="1" applyBorder="1" applyAlignment="1">
      <alignment horizontal="left" vertical="center" wrapText="1"/>
    </xf>
    <xf numFmtId="4" fontId="10" fillId="11" borderId="1" xfId="0" applyNumberFormat="1" applyFont="1" applyFill="1" applyBorder="1" applyAlignment="1">
      <alignment horizontal="center" vertical="center" wrapText="1"/>
    </xf>
    <xf numFmtId="0" fontId="10" fillId="12" borderId="1" xfId="0" applyFont="1" applyFill="1" applyBorder="1" applyAlignment="1">
      <alignment horizontal="left" vertical="center" wrapText="1"/>
    </xf>
    <xf numFmtId="4" fontId="10" fillId="12" borderId="1" xfId="0" applyNumberFormat="1" applyFont="1" applyFill="1" applyBorder="1" applyAlignment="1">
      <alignment horizontal="center" vertical="center" wrapText="1"/>
    </xf>
    <xf numFmtId="0" fontId="11" fillId="0" borderId="0" xfId="0" applyFont="1" applyAlignment="1">
      <alignment horizontal="left" vertical="center"/>
    </xf>
    <xf numFmtId="4" fontId="11" fillId="0" borderId="0" xfId="0" applyNumberFormat="1" applyFont="1" applyAlignment="1">
      <alignment horizontal="right" vertical="center"/>
    </xf>
    <xf numFmtId="0" fontId="9" fillId="15" borderId="1" xfId="0" applyFont="1" applyFill="1" applyBorder="1" applyAlignment="1">
      <alignment horizontal="left" vertical="center" wrapText="1"/>
    </xf>
    <xf numFmtId="4" fontId="9" fillId="15" borderId="1" xfId="0" applyNumberFormat="1" applyFont="1" applyFill="1" applyBorder="1" applyAlignment="1">
      <alignment horizontal="center" vertical="center" wrapText="1"/>
    </xf>
    <xf numFmtId="0" fontId="4" fillId="12" borderId="1" xfId="0" applyFont="1" applyFill="1" applyBorder="1" applyAlignment="1">
      <alignment horizontal="left" vertical="center" wrapText="1"/>
    </xf>
    <xf numFmtId="4" fontId="4" fillId="12" borderId="1" xfId="0" applyNumberFormat="1" applyFont="1" applyFill="1" applyBorder="1" applyAlignment="1">
      <alignment horizontal="center" vertical="center" wrapText="1"/>
    </xf>
    <xf numFmtId="0" fontId="8" fillId="3" borderId="1" xfId="0" applyFont="1" applyFill="1" applyBorder="1" applyAlignment="1">
      <alignment horizontal="center" vertical="center" wrapText="1"/>
    </xf>
    <xf numFmtId="0" fontId="4" fillId="11" borderId="1" xfId="0" applyFont="1" applyFill="1" applyBorder="1" applyAlignment="1">
      <alignment horizontal="left" vertical="center" wrapText="1"/>
    </xf>
    <xf numFmtId="0" fontId="14" fillId="11" borderId="1" xfId="0" applyFont="1" applyFill="1" applyBorder="1" applyAlignment="1">
      <alignment horizontal="left" vertical="center" wrapText="1"/>
    </xf>
    <xf numFmtId="164" fontId="4" fillId="11" borderId="1" xfId="0" applyNumberFormat="1" applyFont="1" applyFill="1" applyBorder="1" applyAlignment="1">
      <alignment horizontal="center" vertical="center" wrapText="1"/>
    </xf>
    <xf numFmtId="0" fontId="14" fillId="12" borderId="1" xfId="0" applyFont="1" applyFill="1" applyBorder="1" applyAlignment="1">
      <alignment horizontal="left" vertical="center" wrapText="1"/>
    </xf>
    <xf numFmtId="165" fontId="4" fillId="11" borderId="1" xfId="0" applyNumberFormat="1" applyFont="1" applyFill="1" applyBorder="1" applyAlignment="1">
      <alignment horizontal="center" vertical="center" wrapText="1"/>
    </xf>
    <xf numFmtId="165" fontId="4" fillId="12" borderId="1" xfId="0" applyNumberFormat="1" applyFont="1" applyFill="1" applyBorder="1" applyAlignment="1">
      <alignment horizontal="center" vertical="center" wrapText="1"/>
    </xf>
    <xf numFmtId="164" fontId="4" fillId="12" borderId="1" xfId="0" applyNumberFormat="1" applyFont="1" applyFill="1" applyBorder="1" applyAlignment="1">
      <alignment horizontal="center" vertical="center" wrapText="1"/>
    </xf>
    <xf numFmtId="166" fontId="4" fillId="11" borderId="1" xfId="0" applyNumberFormat="1" applyFont="1" applyFill="1" applyBorder="1" applyAlignment="1">
      <alignment horizontal="center" vertical="center" wrapText="1"/>
    </xf>
    <xf numFmtId="167" fontId="4" fillId="12" borderId="1" xfId="0" applyNumberFormat="1" applyFont="1" applyFill="1" applyBorder="1" applyAlignment="1">
      <alignment horizontal="center" vertical="center" wrapText="1"/>
    </xf>
    <xf numFmtId="0" fontId="18" fillId="3" borderId="0" xfId="0" applyFont="1" applyFill="1" applyAlignment="1">
      <alignment horizontal="left" vertical="center"/>
    </xf>
    <xf numFmtId="0" fontId="18" fillId="3" borderId="0" xfId="0" applyFont="1" applyFill="1" applyAlignment="1">
      <alignment horizontal="center" vertical="center"/>
    </xf>
    <xf numFmtId="0" fontId="19" fillId="10" borderId="0" xfId="0" applyFont="1" applyFill="1" applyAlignment="1">
      <alignment horizontal="left" vertical="center"/>
    </xf>
    <xf numFmtId="4" fontId="19" fillId="10" borderId="0" xfId="0" applyNumberFormat="1" applyFont="1" applyFill="1" applyAlignment="1">
      <alignment horizontal="center" vertical="center"/>
    </xf>
    <xf numFmtId="0" fontId="20" fillId="11" borderId="0" xfId="0" applyFont="1" applyFill="1" applyAlignment="1">
      <alignment horizontal="left" vertical="center"/>
    </xf>
    <xf numFmtId="4" fontId="20" fillId="11" borderId="0" xfId="0" applyNumberFormat="1" applyFont="1" applyFill="1" applyAlignment="1">
      <alignment horizontal="center" vertical="center"/>
    </xf>
    <xf numFmtId="0" fontId="20" fillId="12" borderId="0" xfId="0" applyFont="1" applyFill="1" applyAlignment="1">
      <alignment horizontal="left" vertical="center"/>
    </xf>
    <xf numFmtId="4" fontId="20" fillId="12" borderId="0" xfId="0" applyNumberFormat="1" applyFont="1" applyFill="1" applyAlignment="1">
      <alignment horizontal="center" vertical="center"/>
    </xf>
    <xf numFmtId="165" fontId="19" fillId="10" borderId="0" xfId="0" applyNumberFormat="1" applyFont="1" applyFill="1" applyAlignment="1">
      <alignment horizontal="center" vertical="center"/>
    </xf>
    <xf numFmtId="0" fontId="20" fillId="0" borderId="0" xfId="0" applyFont="1" applyAlignment="1">
      <alignment horizontal="left" vertical="center"/>
    </xf>
    <xf numFmtId="4" fontId="20" fillId="0" borderId="0" xfId="0" applyNumberFormat="1" applyFont="1" applyAlignment="1">
      <alignment horizontal="center" vertical="center"/>
    </xf>
    <xf numFmtId="0" fontId="19" fillId="15" borderId="0" xfId="0" applyFont="1" applyFill="1" applyAlignment="1">
      <alignment horizontal="left" vertical="center"/>
    </xf>
    <xf numFmtId="4" fontId="19" fillId="15" borderId="0" xfId="0" applyNumberFormat="1" applyFont="1" applyFill="1" applyAlignment="1">
      <alignment horizontal="center" vertical="center"/>
    </xf>
    <xf numFmtId="0" fontId="3" fillId="4" borderId="1" xfId="0" applyFont="1" applyFill="1" applyBorder="1" applyAlignment="1">
      <alignment horizontal="center" vertical="center" wrapText="1"/>
    </xf>
    <xf numFmtId="0" fontId="23" fillId="15" borderId="1" xfId="0" applyFont="1" applyFill="1" applyBorder="1" applyAlignment="1">
      <alignment horizontal="left" vertical="center" wrapText="1"/>
    </xf>
    <xf numFmtId="0" fontId="24" fillId="16" borderId="1" xfId="0" applyFont="1" applyFill="1" applyBorder="1" applyAlignment="1">
      <alignment horizontal="left" vertical="center" wrapText="1"/>
    </xf>
    <xf numFmtId="0" fontId="34" fillId="10" borderId="0" xfId="0" applyFont="1" applyFill="1" applyAlignment="1">
      <alignment horizontal="left" vertical="center"/>
    </xf>
    <xf numFmtId="0" fontId="16" fillId="11" borderId="0" xfId="0" applyFont="1" applyFill="1" applyAlignment="1">
      <alignment horizontal="left" vertical="center"/>
    </xf>
    <xf numFmtId="168" fontId="35" fillId="10" borderId="0" xfId="0" applyNumberFormat="1" applyFont="1" applyFill="1" applyAlignment="1">
      <alignment horizontal="center" vertical="center"/>
    </xf>
    <xf numFmtId="165" fontId="35" fillId="10" borderId="0" xfId="0" applyNumberFormat="1" applyFont="1" applyFill="1" applyAlignment="1">
      <alignment horizontal="center" vertical="center"/>
    </xf>
    <xf numFmtId="167" fontId="35" fillId="10" borderId="0" xfId="0" applyNumberFormat="1" applyFont="1" applyFill="1" applyAlignment="1">
      <alignment horizontal="center" vertical="center"/>
    </xf>
    <xf numFmtId="2" fontId="35" fillId="10" borderId="0" xfId="0" applyNumberFormat="1" applyFont="1" applyFill="1" applyAlignment="1">
      <alignment horizontal="center" vertical="center"/>
    </xf>
    <xf numFmtId="4" fontId="35" fillId="10" borderId="0" xfId="0" applyNumberFormat="1" applyFont="1" applyFill="1" applyAlignment="1">
      <alignment horizontal="center" vertical="center"/>
    </xf>
    <xf numFmtId="0" fontId="4" fillId="19" borderId="1" xfId="0" applyFont="1" applyFill="1" applyBorder="1" applyAlignment="1">
      <alignment horizontal="left" vertical="center" wrapText="1"/>
    </xf>
    <xf numFmtId="0" fontId="36" fillId="19" borderId="1" xfId="0" applyFont="1" applyFill="1" applyBorder="1" applyAlignment="1">
      <alignment horizontal="left" vertical="center" wrapText="1"/>
    </xf>
    <xf numFmtId="0" fontId="4" fillId="20" borderId="1" xfId="0" applyFont="1" applyFill="1" applyBorder="1" applyAlignment="1">
      <alignment horizontal="left" vertical="center" wrapText="1"/>
    </xf>
    <xf numFmtId="0" fontId="36" fillId="20" borderId="1" xfId="0" applyFont="1" applyFill="1" applyBorder="1" applyAlignment="1">
      <alignment horizontal="left" vertical="center" wrapText="1"/>
    </xf>
    <xf numFmtId="0" fontId="4" fillId="9" borderId="1" xfId="0" applyFont="1" applyFill="1" applyBorder="1" applyAlignment="1">
      <alignment horizontal="left" vertical="center" wrapText="1"/>
    </xf>
    <xf numFmtId="0" fontId="36" fillId="9" borderId="1" xfId="0" applyFont="1" applyFill="1" applyBorder="1" applyAlignment="1">
      <alignment horizontal="left" vertical="center" wrapText="1"/>
    </xf>
    <xf numFmtId="0" fontId="39" fillId="24" borderId="11" xfId="0" applyFont="1" applyFill="1" applyBorder="1" applyAlignment="1">
      <alignment horizontal="center" vertical="center" wrapText="1"/>
    </xf>
    <xf numFmtId="164" fontId="37" fillId="21" borderId="11" xfId="0" applyNumberFormat="1" applyFont="1" applyFill="1" applyBorder="1" applyAlignment="1">
      <alignment horizontal="center" vertical="center" wrapText="1"/>
    </xf>
    <xf numFmtId="0" fontId="38" fillId="22" borderId="11" xfId="0" applyFont="1" applyFill="1" applyBorder="1" applyAlignment="1">
      <alignment horizontal="left" vertical="center" wrapText="1"/>
    </xf>
    <xf numFmtId="0" fontId="38" fillId="23" borderId="11" xfId="0" applyFont="1" applyFill="1" applyBorder="1" applyAlignment="1">
      <alignment horizontal="left" vertical="center" wrapText="1"/>
    </xf>
    <xf numFmtId="0" fontId="37" fillId="21" borderId="11" xfId="0" applyFont="1" applyFill="1" applyBorder="1" applyAlignment="1">
      <alignment horizontal="center" vertical="center" wrapText="1"/>
    </xf>
    <xf numFmtId="0" fontId="40" fillId="25" borderId="11" xfId="0" applyFont="1" applyFill="1" applyBorder="1" applyAlignment="1">
      <alignment horizontal="center" vertical="center" wrapText="1"/>
    </xf>
    <xf numFmtId="0" fontId="44" fillId="23" borderId="11" xfId="0" applyFont="1" applyFill="1" applyBorder="1" applyAlignment="1">
      <alignment horizontal="left" vertical="center"/>
    </xf>
    <xf numFmtId="165" fontId="46" fillId="28" borderId="11" xfId="0" applyNumberFormat="1" applyFont="1" applyFill="1" applyBorder="1" applyAlignment="1">
      <alignment horizontal="center" vertical="center" wrapText="1"/>
    </xf>
    <xf numFmtId="0" fontId="45" fillId="23" borderId="11" xfId="0" applyFont="1" applyFill="1" applyBorder="1" applyAlignment="1">
      <alignment horizontal="left" vertical="center" wrapText="1"/>
    </xf>
    <xf numFmtId="0" fontId="44" fillId="22" borderId="11" xfId="0" applyFont="1" applyFill="1" applyBorder="1" applyAlignment="1">
      <alignment horizontal="left" vertical="center"/>
    </xf>
    <xf numFmtId="0" fontId="45" fillId="22" borderId="11" xfId="0" applyFont="1" applyFill="1" applyBorder="1" applyAlignment="1">
      <alignment horizontal="left" vertical="center" wrapText="1"/>
    </xf>
    <xf numFmtId="165" fontId="47" fillId="29" borderId="11" xfId="0" applyNumberFormat="1" applyFont="1" applyFill="1" applyBorder="1" applyAlignment="1">
      <alignment horizontal="center" vertical="center" wrapText="1"/>
    </xf>
    <xf numFmtId="165" fontId="48" fillId="30" borderId="11" xfId="0" applyNumberFormat="1" applyFont="1" applyFill="1" applyBorder="1" applyAlignment="1">
      <alignment horizontal="center" vertical="center" wrapText="1"/>
    </xf>
    <xf numFmtId="0" fontId="44" fillId="22" borderId="11" xfId="0" applyFont="1" applyFill="1" applyBorder="1" applyAlignment="1">
      <alignment horizontal="center" vertical="center" wrapText="1"/>
    </xf>
    <xf numFmtId="3" fontId="46" fillId="28" borderId="11" xfId="0" applyNumberFormat="1" applyFont="1" applyFill="1" applyBorder="1" applyAlignment="1">
      <alignment horizontal="center" vertical="center" wrapText="1"/>
    </xf>
    <xf numFmtId="0" fontId="45" fillId="0" borderId="0" xfId="0" applyFont="1" applyAlignment="1">
      <alignment horizontal="center" vertical="center" wrapText="1"/>
    </xf>
    <xf numFmtId="169" fontId="46" fillId="28" borderId="11" xfId="0" applyNumberFormat="1" applyFont="1" applyFill="1" applyBorder="1" applyAlignment="1">
      <alignment horizontal="center" vertical="center" wrapText="1"/>
    </xf>
    <xf numFmtId="0" fontId="44" fillId="23" borderId="11" xfId="0" applyFont="1" applyFill="1" applyBorder="1" applyAlignment="1">
      <alignment horizontal="center" vertical="center" wrapText="1"/>
    </xf>
    <xf numFmtId="0" fontId="44" fillId="22" borderId="11" xfId="0" applyFont="1" applyFill="1" applyBorder="1" applyAlignment="1">
      <alignment horizontal="left" vertical="center" wrapText="1"/>
    </xf>
    <xf numFmtId="0" fontId="0" fillId="0" borderId="11" xfId="0" applyBorder="1"/>
    <xf numFmtId="0" fontId="44" fillId="23" borderId="11" xfId="0" applyFont="1" applyFill="1" applyBorder="1" applyAlignment="1">
      <alignment horizontal="left" vertical="center" wrapText="1"/>
    </xf>
    <xf numFmtId="169" fontId="47" fillId="29" borderId="11" xfId="0" applyNumberFormat="1" applyFont="1" applyFill="1" applyBorder="1" applyAlignment="1">
      <alignment horizontal="center" vertical="center" wrapText="1"/>
    </xf>
    <xf numFmtId="0" fontId="49" fillId="30" borderId="11" xfId="0" applyFont="1" applyFill="1" applyBorder="1" applyAlignment="1">
      <alignment horizontal="left" vertical="center" wrapText="1"/>
    </xf>
    <xf numFmtId="169" fontId="50" fillId="30" borderId="11" xfId="0" applyNumberFormat="1" applyFont="1" applyFill="1" applyBorder="1" applyAlignment="1">
      <alignment horizontal="center" vertical="center" wrapText="1"/>
    </xf>
    <xf numFmtId="0" fontId="49" fillId="23" borderId="11" xfId="0" applyFont="1" applyFill="1" applyBorder="1" applyAlignment="1">
      <alignment horizontal="left" vertical="center" wrapText="1"/>
    </xf>
    <xf numFmtId="165" fontId="50" fillId="30" borderId="11" xfId="0" applyNumberFormat="1" applyFont="1" applyFill="1" applyBorder="1" applyAlignment="1">
      <alignment horizontal="center" vertical="center" wrapText="1"/>
    </xf>
    <xf numFmtId="0" fontId="49" fillId="22" borderId="11" xfId="0" applyFont="1" applyFill="1" applyBorder="1" applyAlignment="1">
      <alignment horizontal="left" vertical="center" wrapText="1"/>
    </xf>
    <xf numFmtId="0" fontId="51" fillId="34" borderId="11" xfId="0" applyFont="1" applyFill="1" applyBorder="1" applyAlignment="1">
      <alignment horizontal="center" vertical="center" wrapText="1"/>
    </xf>
    <xf numFmtId="0" fontId="46" fillId="28" borderId="11" xfId="0" applyFont="1" applyFill="1" applyBorder="1" applyAlignment="1">
      <alignment horizontal="center" vertical="center" wrapText="1"/>
    </xf>
    <xf numFmtId="0" fontId="51" fillId="35" borderId="11" xfId="0" applyFont="1" applyFill="1" applyBorder="1" applyAlignment="1">
      <alignment horizontal="center" vertical="center" wrapText="1"/>
    </xf>
    <xf numFmtId="0" fontId="51" fillId="36" borderId="11" xfId="0" applyFont="1" applyFill="1" applyBorder="1" applyAlignment="1">
      <alignment horizontal="center" vertical="center" wrapText="1"/>
    </xf>
    <xf numFmtId="0" fontId="43" fillId="34" borderId="11" xfId="0" applyFont="1" applyFill="1" applyBorder="1" applyAlignment="1">
      <alignment horizontal="left" vertical="center" wrapText="1"/>
    </xf>
    <xf numFmtId="2" fontId="51" fillId="31" borderId="11" xfId="0" applyNumberFormat="1" applyFont="1" applyFill="1" applyBorder="1" applyAlignment="1">
      <alignment horizontal="center" vertical="center" wrapText="1"/>
    </xf>
    <xf numFmtId="2" fontId="51" fillId="33" borderId="11" xfId="0" applyNumberFormat="1" applyFont="1" applyFill="1" applyBorder="1" applyAlignment="1">
      <alignment horizontal="center" vertical="center" wrapText="1"/>
    </xf>
    <xf numFmtId="0" fontId="52" fillId="34" borderId="11" xfId="0" applyFont="1" applyFill="1" applyBorder="1" applyAlignment="1">
      <alignment horizontal="left" vertical="center" wrapText="1"/>
    </xf>
    <xf numFmtId="0" fontId="43" fillId="36" borderId="11" xfId="0" applyFont="1" applyFill="1" applyBorder="1" applyAlignment="1">
      <alignment horizontal="left" vertical="center" wrapText="1"/>
    </xf>
    <xf numFmtId="0" fontId="52" fillId="36" borderId="11" xfId="0" applyFont="1" applyFill="1" applyBorder="1" applyAlignment="1">
      <alignment horizontal="left" vertical="center" wrapText="1"/>
    </xf>
    <xf numFmtId="0" fontId="53" fillId="23" borderId="11" xfId="0" applyFont="1" applyFill="1" applyBorder="1" applyAlignment="1">
      <alignment horizontal="left" vertical="center" wrapText="1"/>
    </xf>
    <xf numFmtId="0" fontId="53" fillId="22" borderId="11" xfId="0" applyFont="1" applyFill="1" applyBorder="1" applyAlignment="1">
      <alignment horizontal="left" vertical="center" wrapText="1"/>
    </xf>
    <xf numFmtId="0" fontId="54" fillId="31" borderId="11" xfId="0" applyFont="1" applyFill="1" applyBorder="1" applyAlignment="1">
      <alignment horizontal="center" vertical="center" wrapText="1"/>
    </xf>
    <xf numFmtId="0" fontId="54" fillId="33" borderId="11" xfId="0" applyFont="1" applyFill="1" applyBorder="1" applyAlignment="1">
      <alignment horizontal="center" vertical="center" wrapText="1"/>
    </xf>
    <xf numFmtId="0" fontId="0" fillId="0" borderId="0" xfId="0"/>
    <xf numFmtId="0" fontId="3" fillId="5" borderId="0" xfId="0" applyFont="1" applyFill="1" applyAlignment="1">
      <alignment horizontal="left" vertical="center" wrapText="1"/>
    </xf>
    <xf numFmtId="0" fontId="7" fillId="2" borderId="0" xfId="0" applyFont="1" applyFill="1" applyAlignment="1">
      <alignment horizontal="center" vertical="center"/>
    </xf>
    <xf numFmtId="0" fontId="3" fillId="7" borderId="0" xfId="0" applyFont="1" applyFill="1" applyAlignment="1">
      <alignment horizontal="left" vertical="center" wrapText="1"/>
    </xf>
    <xf numFmtId="0" fontId="3" fillId="8" borderId="0" xfId="0" applyFont="1" applyFill="1" applyAlignment="1">
      <alignment horizontal="left" vertical="center" wrapText="1"/>
    </xf>
    <xf numFmtId="0" fontId="3" fillId="4" borderId="0" xfId="0" applyFont="1" applyFill="1" applyAlignment="1">
      <alignment horizontal="left" vertical="center" wrapText="1"/>
    </xf>
    <xf numFmtId="0" fontId="3" fillId="14" borderId="0" xfId="0" applyFont="1" applyFill="1" applyAlignment="1">
      <alignment horizontal="left" vertical="center" wrapText="1"/>
    </xf>
    <xf numFmtId="0" fontId="3" fillId="7" borderId="1" xfId="0" applyFont="1" applyFill="1" applyBorder="1" applyAlignment="1">
      <alignment horizontal="left" vertical="center" wrapText="1"/>
    </xf>
    <xf numFmtId="0" fontId="0" fillId="0" borderId="4" xfId="0" applyBorder="1"/>
    <xf numFmtId="0" fontId="0" fillId="0" borderId="5" xfId="0" applyBorder="1"/>
    <xf numFmtId="0" fontId="43" fillId="27" borderId="1" xfId="0" applyFont="1" applyFill="1" applyBorder="1" applyAlignment="1">
      <alignment horizontal="left" vertical="center"/>
    </xf>
    <xf numFmtId="0" fontId="2" fillId="3" borderId="0" xfId="0" applyFont="1" applyFill="1" applyAlignment="1">
      <alignment horizontal="center" vertical="center" wrapText="1"/>
    </xf>
    <xf numFmtId="0" fontId="44" fillId="0" borderId="1" xfId="0" applyFont="1" applyBorder="1" applyAlignment="1">
      <alignment horizontal="left" vertical="center"/>
    </xf>
    <xf numFmtId="0" fontId="4" fillId="0" borderId="1" xfId="0" applyFont="1" applyBorder="1" applyAlignment="1">
      <alignment horizontal="left" vertical="center" wrapText="1"/>
    </xf>
    <xf numFmtId="0" fontId="3" fillId="4" borderId="0" xfId="0" applyFont="1" applyFill="1" applyAlignment="1">
      <alignment horizontal="center" vertical="center" wrapText="1"/>
    </xf>
    <xf numFmtId="0" fontId="3" fillId="5" borderId="1" xfId="0" applyFont="1" applyFill="1" applyBorder="1" applyAlignment="1">
      <alignment horizontal="left" vertical="center" wrapText="1"/>
    </xf>
    <xf numFmtId="0" fontId="3" fillId="6" borderId="1" xfId="0" applyFont="1" applyFill="1" applyBorder="1" applyAlignment="1">
      <alignment horizontal="left" vertical="center" wrapText="1"/>
    </xf>
    <xf numFmtId="0" fontId="43" fillId="36" borderId="1" xfId="0" applyFont="1" applyFill="1" applyBorder="1" applyAlignment="1">
      <alignment horizontal="left" vertical="center"/>
    </xf>
    <xf numFmtId="0" fontId="1" fillId="2" borderId="0" xfId="0" applyFont="1" applyFill="1" applyAlignment="1">
      <alignment horizontal="center" vertical="center" wrapText="1"/>
    </xf>
    <xf numFmtId="0" fontId="3" fillId="4" borderId="1" xfId="0" applyFont="1" applyFill="1" applyBorder="1" applyAlignment="1">
      <alignment horizontal="left" vertical="center" wrapText="1"/>
    </xf>
    <xf numFmtId="0" fontId="13" fillId="0" borderId="0" xfId="0" applyFont="1" applyAlignment="1">
      <alignment horizontal="left"/>
    </xf>
    <xf numFmtId="0" fontId="12" fillId="13" borderId="0" xfId="0" applyFont="1" applyFill="1" applyAlignment="1">
      <alignment horizontal="left" vertical="center"/>
    </xf>
    <xf numFmtId="0" fontId="16" fillId="0" borderId="0" xfId="0" applyFont="1" applyAlignment="1">
      <alignment horizontal="left" vertical="center"/>
    </xf>
    <xf numFmtId="0" fontId="19" fillId="10" borderId="0" xfId="0" applyFont="1" applyFill="1" applyAlignment="1">
      <alignment horizontal="left" vertical="center"/>
    </xf>
    <xf numFmtId="0" fontId="21" fillId="13" borderId="0" xfId="0" applyFont="1" applyFill="1" applyAlignment="1">
      <alignment horizontal="left" vertical="center"/>
    </xf>
    <xf numFmtId="0" fontId="15" fillId="2" borderId="0" xfId="0" applyFont="1" applyFill="1" applyAlignment="1">
      <alignment horizontal="center" vertical="center"/>
    </xf>
    <xf numFmtId="0" fontId="17" fillId="5" borderId="0" xfId="0" applyFont="1" applyFill="1" applyAlignment="1">
      <alignment horizontal="left" vertical="center"/>
    </xf>
    <xf numFmtId="0" fontId="17" fillId="7" borderId="0" xfId="0" applyFont="1" applyFill="1" applyAlignment="1">
      <alignment horizontal="left" vertical="center"/>
    </xf>
    <xf numFmtId="0" fontId="17" fillId="14" borderId="0" xfId="0" applyFont="1" applyFill="1" applyAlignment="1">
      <alignment horizontal="left" vertical="center"/>
    </xf>
    <xf numFmtId="0" fontId="22" fillId="0" borderId="0" xfId="0" applyFont="1" applyAlignment="1">
      <alignment horizontal="left" wrapText="1"/>
    </xf>
    <xf numFmtId="0" fontId="7" fillId="2" borderId="0" xfId="0" applyFont="1" applyFill="1" applyAlignment="1">
      <alignment horizontal="center" vertical="center" wrapText="1"/>
    </xf>
    <xf numFmtId="0" fontId="3" fillId="16" borderId="1" xfId="0" applyFont="1" applyFill="1" applyBorder="1" applyAlignment="1">
      <alignment horizontal="left" vertical="center" wrapText="1"/>
    </xf>
    <xf numFmtId="0" fontId="3" fillId="15" borderId="1" xfId="0" applyFont="1" applyFill="1" applyBorder="1" applyAlignment="1">
      <alignment horizontal="left" vertical="center" wrapText="1"/>
    </xf>
    <xf numFmtId="0" fontId="29" fillId="11" borderId="1" xfId="0" applyFont="1" applyFill="1" applyBorder="1" applyAlignment="1">
      <alignment horizontal="center" vertical="center" wrapText="1"/>
    </xf>
    <xf numFmtId="0" fontId="0" fillId="0" borderId="3" xfId="0" applyBorder="1"/>
    <xf numFmtId="0" fontId="0" fillId="0" borderId="8" xfId="0" applyBorder="1"/>
    <xf numFmtId="0" fontId="0" fillId="0" borderId="10" xfId="0" applyBorder="1"/>
    <xf numFmtId="0" fontId="31" fillId="9" borderId="1" xfId="0" applyFont="1" applyFill="1" applyBorder="1" applyAlignment="1">
      <alignment horizontal="center" vertical="center" wrapText="1"/>
    </xf>
    <xf numFmtId="0" fontId="30" fillId="17" borderId="1" xfId="0" applyFont="1" applyFill="1" applyBorder="1" applyAlignment="1">
      <alignment horizontal="center" vertical="center" wrapText="1"/>
    </xf>
    <xf numFmtId="0" fontId="28" fillId="4" borderId="1" xfId="0" applyFont="1" applyFill="1" applyBorder="1" applyAlignment="1">
      <alignment horizontal="center" vertical="center" wrapText="1"/>
    </xf>
    <xf numFmtId="0" fontId="27" fillId="6" borderId="0" xfId="0" applyFont="1" applyFill="1" applyAlignment="1">
      <alignment horizontal="center" vertical="center" wrapText="1"/>
    </xf>
    <xf numFmtId="0" fontId="26" fillId="3" borderId="0" xfId="0" applyFont="1" applyFill="1" applyAlignment="1">
      <alignment horizontal="center" vertical="center" wrapText="1"/>
    </xf>
    <xf numFmtId="0" fontId="32" fillId="16" borderId="1" xfId="0" applyFont="1" applyFill="1" applyBorder="1" applyAlignment="1">
      <alignment horizontal="center" vertical="center" wrapText="1"/>
    </xf>
    <xf numFmtId="0" fontId="27" fillId="7" borderId="0" xfId="0" applyFont="1" applyFill="1" applyAlignment="1">
      <alignment horizontal="center" vertical="center" wrapText="1"/>
    </xf>
    <xf numFmtId="0" fontId="25" fillId="2" borderId="0" xfId="0" applyFont="1" applyFill="1" applyAlignment="1">
      <alignment horizontal="center" vertical="center"/>
    </xf>
    <xf numFmtId="0" fontId="27" fillId="2" borderId="0" xfId="0" applyFont="1" applyFill="1" applyAlignment="1">
      <alignment horizontal="center" vertical="center" wrapText="1"/>
    </xf>
    <xf numFmtId="0" fontId="33" fillId="18" borderId="1" xfId="0" applyFont="1" applyFill="1" applyBorder="1" applyAlignment="1">
      <alignment horizontal="left" vertical="center" wrapText="1"/>
    </xf>
    <xf numFmtId="0" fontId="0" fillId="0" borderId="2" xfId="0" applyBorder="1"/>
    <xf numFmtId="0" fontId="0" fillId="0" borderId="6" xfId="0" applyBorder="1"/>
    <xf numFmtId="0" fontId="0" fillId="0" borderId="7" xfId="0" applyBorder="1"/>
    <xf numFmtId="0" fontId="0" fillId="0" borderId="9" xfId="0" applyBorder="1"/>
    <xf numFmtId="0" fontId="22" fillId="0" borderId="0" xfId="0" applyFont="1" applyAlignment="1">
      <alignment horizontal="left" vertical="center"/>
    </xf>
    <xf numFmtId="0" fontId="17" fillId="3" borderId="0" xfId="0" applyFont="1" applyFill="1" applyAlignment="1">
      <alignment horizontal="left" vertical="center"/>
    </xf>
    <xf numFmtId="0" fontId="43" fillId="32" borderId="0" xfId="0" applyFont="1" applyFill="1" applyAlignment="1">
      <alignment horizontal="left" vertical="center"/>
    </xf>
    <xf numFmtId="0" fontId="43" fillId="27" borderId="0" xfId="0" applyFont="1" applyFill="1" applyAlignment="1">
      <alignment horizontal="left" vertical="center"/>
    </xf>
    <xf numFmtId="0" fontId="42" fillId="0" borderId="0" xfId="0" applyFont="1" applyAlignment="1">
      <alignment horizontal="left" vertical="center"/>
    </xf>
    <xf numFmtId="0" fontId="43" fillId="33" borderId="0" xfId="0" applyFont="1" applyFill="1" applyAlignment="1">
      <alignment horizontal="left" vertical="center"/>
    </xf>
    <xf numFmtId="0" fontId="41" fillId="26" borderId="0" xfId="0" applyFont="1" applyFill="1" applyAlignment="1">
      <alignment horizontal="center" vertical="center"/>
    </xf>
    <xf numFmtId="0" fontId="43" fillId="31" borderId="0" xfId="0" applyFont="1" applyFill="1" applyAlignment="1">
      <alignment horizontal="left" vertical="center"/>
    </xf>
    <xf numFmtId="0" fontId="43" fillId="34" borderId="0" xfId="0" applyFont="1" applyFill="1" applyAlignment="1">
      <alignment horizontal="left" vertical="center"/>
    </xf>
    <xf numFmtId="0" fontId="43" fillId="26" borderId="0" xfId="0" applyFont="1" applyFill="1" applyAlignment="1">
      <alignment horizontal="left" vertical="center"/>
    </xf>
    <xf numFmtId="0" fontId="42" fillId="0" borderId="0" xfId="0" applyFont="1"/>
    <xf numFmtId="0" fontId="43" fillId="36" borderId="0" xfId="0" applyFont="1" applyFill="1" applyAlignment="1">
      <alignment horizontal="left" vertical="center"/>
    </xf>
  </cellXfs>
  <cellStyles count="1">
    <cellStyle name="Normal" xfId="0" builtinId="0"/>
  </cellStyles>
  <dxfs count="0"/>
  <tableStyles count="0" defaultTableStyle="TableStyleMedium2" defaultPivotStyle="PivotStyleLight16"/>
  <colors>
    <indexedColors>
      <rgbColor rgb="FF000000"/>
      <rgbColor rgb="FFFFFFFF"/>
      <rgbColor rgb="FFEFF3FB"/>
      <rgbColor rgb="FFEDE7F6"/>
      <rgbColor rgb="FF0000FF"/>
      <rgbColor rgb="FFB8CD97"/>
      <rgbColor rgb="FFCC8F8E"/>
      <rgbColor rgb="FFB3B3B3"/>
      <rgbColor rgb="FFF8F8F8"/>
      <rgbColor rgb="FF006100"/>
      <rgbColor rgb="FF1B5E20"/>
      <rgbColor rgb="FF87A44B"/>
      <rgbColor rgb="FF6A1B9A"/>
      <rgbColor rgb="FF00695C"/>
      <rgbColor rgb="FFBDBDBD"/>
      <rgbColor rgb="FF878787"/>
      <rgbColor rgb="FF93A9CE"/>
      <rgbColor rgb="FFC62828"/>
      <rgbColor rgb="FFFFF8E1"/>
      <rgbColor rgb="FFE0F2F1"/>
      <rgbColor rgb="FF4A148C"/>
      <rgbColor rgb="FFDC853E"/>
      <rgbColor rgb="FF1565C0"/>
      <rgbColor rgb="FFD9D9D9"/>
      <rgbColor rgb="FF000080"/>
      <rgbColor rgb="FFA596B9"/>
      <rgbColor rgb="FFB3C992"/>
      <rgbColor rgb="FFD9E1F2"/>
      <rgbColor rgb="FF595959"/>
      <rgbColor rgb="FF800000"/>
      <rgbColor rgb="FF2E7D32"/>
      <rgbColor rgb="FF0000FF"/>
      <rgbColor rgb="FF8EA5CA"/>
      <rgbColor rgb="FFE3F2FD"/>
      <rgbColor rgb="FFE8F5E9"/>
      <rgbColor rgb="FFF1F8E9"/>
      <rgbColor rgb="FFB3E5FC"/>
      <rgbColor rgb="FFD09493"/>
      <rgbColor rgb="FFA99BBD"/>
      <rgbColor rgb="FFFFEBEE"/>
      <rgbColor rgb="FF546E7A"/>
      <rgbColor rgb="FF4299B0"/>
      <rgbColor rgb="FF8AA64F"/>
      <rgbColor rgb="FFFFD600"/>
      <rgbColor rgb="FFDB8238"/>
      <rgbColor rgb="FFE65100"/>
      <rgbColor rgb="FF725990"/>
      <rgbColor rgb="FF90A4AE"/>
      <rgbColor rgb="FF1F3864"/>
      <rgbColor rgb="FF3D97AF"/>
      <rgbColor rgb="FF0D1B2A"/>
      <rgbColor rgb="FF37474F"/>
      <rgbColor rgb="FFB71C1C"/>
      <rgbColor rgb="FF6F568D"/>
      <rgbColor rgb="FF0D47A1"/>
      <rgbColor rgb="FF1B2A4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a:lstStyle/>
          <a:p>
            <a:pPr>
              <a:defRPr lang="en-US" sz="1800" b="1" strike="noStrike" spc="-1">
                <a:solidFill>
                  <a:srgbClr val="000000"/>
                </a:solidFill>
                <a:latin typeface="Calibri"/>
              </a:defRPr>
            </a:pPr>
            <a:r>
              <a:rPr lang="en-US" sz="1800" b="1" strike="noStrike" spc="-1">
                <a:solidFill>
                  <a:srgbClr val="000000"/>
                </a:solidFill>
                <a:latin typeface="Calibri"/>
              </a:rPr>
              <a:t>ABFRL — Revenue vs Net Income (₹ Cr)</a:t>
            </a:r>
          </a:p>
        </c:rich>
      </c:tx>
      <c:overlay val="0"/>
      <c:spPr>
        <a:noFill/>
        <a:ln w="0">
          <a:noFill/>
          <a:prstDash val="solid"/>
        </a:ln>
      </c:spPr>
    </c:title>
    <c:autoTitleDeleted val="0"/>
    <c:plotArea>
      <c:layout/>
      <c:barChart>
        <c:barDir val="col"/>
        <c:grouping val="clustered"/>
        <c:varyColors val="0"/>
        <c:ser>
          <c:idx val="0"/>
          <c:order val="0"/>
          <c:tx>
            <c:v>Revenue</c:v>
          </c:tx>
          <c:spPr>
            <a:solidFill>
              <a:srgbClr val="1565C0"/>
            </a:solidFill>
            <a:ln w="0">
              <a:noFill/>
              <a:prstDash val="solid"/>
            </a:ln>
          </c:spPr>
          <c:invertIfNegative val="0"/>
          <c:dLbls>
            <c:spPr>
              <a:noFill/>
              <a:ln>
                <a:noFill/>
                <a:prstDash val="solid"/>
              </a:ln>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'⑥ Visualizations'!$B$1:$F$1</c:f>
              <c:strCache>
                <c:ptCount val="5"/>
                <c:pt idx="0">
                  <c:v>FY2020</c:v>
                </c:pt>
                <c:pt idx="1">
                  <c:v>FY2021</c:v>
                </c:pt>
                <c:pt idx="2">
                  <c:v>FY2022</c:v>
                </c:pt>
                <c:pt idx="3">
                  <c:v>FY2023</c:v>
                </c:pt>
                <c:pt idx="4">
                  <c:v>FY2024</c:v>
                </c:pt>
              </c:strCache>
            </c:strRef>
          </c:cat>
          <c:val>
            <c:numRef>
              <c:f>'⑥ Visualizations'!$B$2</c:f>
              <c:numCache>
                <c:formatCode>General</c:formatCode>
                <c:ptCount val="1"/>
                <c:pt idx="0">
                  <c:v>8027</c:v>
                </c:pt>
              </c:numCache>
            </c:numRef>
          </c:val>
          <c:extLst>
            <c:ext xmlns:c16="http://schemas.microsoft.com/office/drawing/2014/chart" uri="{C3380CC4-5D6E-409C-BE32-E72D297353CC}">
              <c16:uniqueId val="{00000000-42F2-452F-9AAC-14F862D21446}"/>
            </c:ext>
          </c:extLst>
        </c:ser>
        <c:ser>
          <c:idx val="1"/>
          <c:order val="1"/>
          <c:tx>
            <c:v>Net Income</c:v>
          </c:tx>
          <c:spPr>
            <a:solidFill>
              <a:srgbClr val="E65100"/>
            </a:solidFill>
            <a:ln w="0">
              <a:noFill/>
              <a:prstDash val="solid"/>
            </a:ln>
          </c:spPr>
          <c:invertIfNegative val="0"/>
          <c:dLbls>
            <c:spPr>
              <a:noFill/>
              <a:ln>
                <a:noFill/>
                <a:prstDash val="solid"/>
              </a:ln>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'⑥ Visualizations'!$B$1:$F$1</c:f>
              <c:strCache>
                <c:ptCount val="5"/>
                <c:pt idx="0">
                  <c:v>FY2020</c:v>
                </c:pt>
                <c:pt idx="1">
                  <c:v>FY2021</c:v>
                </c:pt>
                <c:pt idx="2">
                  <c:v>FY2022</c:v>
                </c:pt>
                <c:pt idx="3">
                  <c:v>FY2023</c:v>
                </c:pt>
                <c:pt idx="4">
                  <c:v>FY2024</c:v>
                </c:pt>
              </c:strCache>
            </c:strRef>
          </c:cat>
          <c:val>
            <c:numRef>
              <c:f>'⑥ Visualizations'!$C$2</c:f>
              <c:numCache>
                <c:formatCode>General</c:formatCode>
                <c:ptCount val="1"/>
                <c:pt idx="0">
                  <c:v>5015</c:v>
                </c:pt>
              </c:numCache>
            </c:numRef>
          </c:val>
          <c:extLst>
            <c:ext xmlns:c16="http://schemas.microsoft.com/office/drawing/2014/chart" uri="{C3380CC4-5D6E-409C-BE32-E72D297353CC}">
              <c16:uniqueId val="{00000001-42F2-452F-9AAC-14F862D21446}"/>
            </c:ext>
          </c:extLst>
        </c:ser>
        <c:ser>
          <c:idx val="2"/>
          <c:order val="2"/>
          <c:spPr>
            <a:solidFill>
              <a:srgbClr val="8AA64F"/>
            </a:solidFill>
            <a:ln w="0">
              <a:noFill/>
              <a:prstDash val="solid"/>
            </a:ln>
          </c:spPr>
          <c:invertIfNegative val="0"/>
          <c:dLbls>
            <c:spPr>
              <a:noFill/>
              <a:ln>
                <a:noFill/>
                <a:prstDash val="solid"/>
              </a:ln>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'⑥ Visualizations'!$B$1:$F$1</c:f>
              <c:strCache>
                <c:ptCount val="5"/>
                <c:pt idx="0">
                  <c:v>FY2020</c:v>
                </c:pt>
                <c:pt idx="1">
                  <c:v>FY2021</c:v>
                </c:pt>
                <c:pt idx="2">
                  <c:v>FY2022</c:v>
                </c:pt>
                <c:pt idx="3">
                  <c:v>FY2023</c:v>
                </c:pt>
                <c:pt idx="4">
                  <c:v>FY2024</c:v>
                </c:pt>
              </c:strCache>
            </c:strRef>
          </c:cat>
          <c:val>
            <c:numRef>
              <c:f>'⑥ Visualizations'!$D$2</c:f>
              <c:numCache>
                <c:formatCode>General</c:formatCode>
                <c:ptCount val="1"/>
                <c:pt idx="0">
                  <c:v>9036</c:v>
                </c:pt>
              </c:numCache>
            </c:numRef>
          </c:val>
          <c:extLst>
            <c:ext xmlns:c16="http://schemas.microsoft.com/office/drawing/2014/chart" uri="{C3380CC4-5D6E-409C-BE32-E72D297353CC}">
              <c16:uniqueId val="{00000002-42F2-452F-9AAC-14F862D21446}"/>
            </c:ext>
          </c:extLst>
        </c:ser>
        <c:ser>
          <c:idx val="3"/>
          <c:order val="3"/>
          <c:spPr>
            <a:solidFill>
              <a:srgbClr val="725990"/>
            </a:solidFill>
            <a:ln w="0">
              <a:noFill/>
              <a:prstDash val="solid"/>
            </a:ln>
          </c:spPr>
          <c:invertIfNegative val="0"/>
          <c:dLbls>
            <c:spPr>
              <a:noFill/>
              <a:ln>
                <a:noFill/>
                <a:prstDash val="solid"/>
              </a:ln>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'⑥ Visualizations'!$B$1:$F$1</c:f>
              <c:strCache>
                <c:ptCount val="5"/>
                <c:pt idx="0">
                  <c:v>FY2020</c:v>
                </c:pt>
                <c:pt idx="1">
                  <c:v>FY2021</c:v>
                </c:pt>
                <c:pt idx="2">
                  <c:v>FY2022</c:v>
                </c:pt>
                <c:pt idx="3">
                  <c:v>FY2023</c:v>
                </c:pt>
                <c:pt idx="4">
                  <c:v>FY2024</c:v>
                </c:pt>
              </c:strCache>
            </c:strRef>
          </c:cat>
          <c:val>
            <c:numRef>
              <c:f>'⑥ Visualizations'!$E$2</c:f>
              <c:numCache>
                <c:formatCode>General</c:formatCode>
                <c:ptCount val="1"/>
                <c:pt idx="0">
                  <c:v>12418</c:v>
                </c:pt>
              </c:numCache>
            </c:numRef>
          </c:val>
          <c:extLst>
            <c:ext xmlns:c16="http://schemas.microsoft.com/office/drawing/2014/chart" uri="{C3380CC4-5D6E-409C-BE32-E72D297353CC}">
              <c16:uniqueId val="{00000003-42F2-452F-9AAC-14F862D21446}"/>
            </c:ext>
          </c:extLst>
        </c:ser>
        <c:ser>
          <c:idx val="4"/>
          <c:order val="4"/>
          <c:spPr>
            <a:solidFill>
              <a:srgbClr val="4299B0"/>
            </a:solidFill>
            <a:ln w="0">
              <a:noFill/>
              <a:prstDash val="solid"/>
            </a:ln>
          </c:spPr>
          <c:invertIfNegative val="0"/>
          <c:dLbls>
            <c:spPr>
              <a:noFill/>
              <a:ln>
                <a:noFill/>
                <a:prstDash val="solid"/>
              </a:ln>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'⑥ Visualizations'!$B$1:$F$1</c:f>
              <c:strCache>
                <c:ptCount val="5"/>
                <c:pt idx="0">
                  <c:v>FY2020</c:v>
                </c:pt>
                <c:pt idx="1">
                  <c:v>FY2021</c:v>
                </c:pt>
                <c:pt idx="2">
                  <c:v>FY2022</c:v>
                </c:pt>
                <c:pt idx="3">
                  <c:v>FY2023</c:v>
                </c:pt>
                <c:pt idx="4">
                  <c:v>FY2024</c:v>
                </c:pt>
              </c:strCache>
            </c:strRef>
          </c:cat>
          <c:val>
            <c:numRef>
              <c:f>'⑥ Visualizations'!$F$2</c:f>
              <c:numCache>
                <c:formatCode>General</c:formatCode>
                <c:ptCount val="1"/>
                <c:pt idx="0">
                  <c:v>14688</c:v>
                </c:pt>
              </c:numCache>
            </c:numRef>
          </c:val>
          <c:extLst>
            <c:ext xmlns:c16="http://schemas.microsoft.com/office/drawing/2014/chart" uri="{C3380CC4-5D6E-409C-BE32-E72D297353CC}">
              <c16:uniqueId val="{00000004-42F2-452F-9AAC-14F862D21446}"/>
            </c:ext>
          </c:extLst>
        </c:ser>
        <c:ser>
          <c:idx val="5"/>
          <c:order val="5"/>
          <c:spPr>
            <a:solidFill>
              <a:srgbClr val="DC853E"/>
            </a:solidFill>
            <a:ln w="0">
              <a:noFill/>
              <a:prstDash val="solid"/>
            </a:ln>
          </c:spPr>
          <c:invertIfNegative val="0"/>
          <c:dLbls>
            <c:spPr>
              <a:noFill/>
              <a:ln>
                <a:noFill/>
                <a:prstDash val="solid"/>
              </a:ln>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'⑥ Visualizations'!$B$1:$F$1</c:f>
              <c:strCache>
                <c:ptCount val="5"/>
                <c:pt idx="0">
                  <c:v>FY2020</c:v>
                </c:pt>
                <c:pt idx="1">
                  <c:v>FY2021</c:v>
                </c:pt>
                <c:pt idx="2">
                  <c:v>FY2022</c:v>
                </c:pt>
                <c:pt idx="3">
                  <c:v>FY2023</c:v>
                </c:pt>
                <c:pt idx="4">
                  <c:v>FY2024</c:v>
                </c:pt>
              </c:strCache>
            </c:strRef>
          </c:cat>
          <c:val>
            <c:numRef>
              <c:f>'⑥ Visualizations'!$B$3</c:f>
              <c:numCache>
                <c:formatCode>General</c:formatCode>
                <c:ptCount val="1"/>
                <c:pt idx="0">
                  <c:v>-187</c:v>
                </c:pt>
              </c:numCache>
            </c:numRef>
          </c:val>
          <c:extLst>
            <c:ext xmlns:c16="http://schemas.microsoft.com/office/drawing/2014/chart" uri="{C3380CC4-5D6E-409C-BE32-E72D297353CC}">
              <c16:uniqueId val="{00000005-42F2-452F-9AAC-14F862D21446}"/>
            </c:ext>
          </c:extLst>
        </c:ser>
        <c:ser>
          <c:idx val="6"/>
          <c:order val="6"/>
          <c:spPr>
            <a:solidFill>
              <a:srgbClr val="93A9CE"/>
            </a:solidFill>
            <a:ln w="0">
              <a:noFill/>
              <a:prstDash val="solid"/>
            </a:ln>
          </c:spPr>
          <c:invertIfNegative val="0"/>
          <c:dLbls>
            <c:spPr>
              <a:noFill/>
              <a:ln>
                <a:noFill/>
                <a:prstDash val="solid"/>
              </a:ln>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'⑥ Visualizations'!$B$1:$F$1</c:f>
              <c:strCache>
                <c:ptCount val="5"/>
                <c:pt idx="0">
                  <c:v>FY2020</c:v>
                </c:pt>
                <c:pt idx="1">
                  <c:v>FY2021</c:v>
                </c:pt>
                <c:pt idx="2">
                  <c:v>FY2022</c:v>
                </c:pt>
                <c:pt idx="3">
                  <c:v>FY2023</c:v>
                </c:pt>
                <c:pt idx="4">
                  <c:v>FY2024</c:v>
                </c:pt>
              </c:strCache>
            </c:strRef>
          </c:cat>
          <c:val>
            <c:numRef>
              <c:f>'⑥ Visualizations'!$C$3</c:f>
              <c:numCache>
                <c:formatCode>General</c:formatCode>
                <c:ptCount val="1"/>
                <c:pt idx="0">
                  <c:v>-1497</c:v>
                </c:pt>
              </c:numCache>
            </c:numRef>
          </c:val>
          <c:extLst>
            <c:ext xmlns:c16="http://schemas.microsoft.com/office/drawing/2014/chart" uri="{C3380CC4-5D6E-409C-BE32-E72D297353CC}">
              <c16:uniqueId val="{00000006-42F2-452F-9AAC-14F862D21446}"/>
            </c:ext>
          </c:extLst>
        </c:ser>
        <c:ser>
          <c:idx val="7"/>
          <c:order val="7"/>
          <c:spPr>
            <a:solidFill>
              <a:srgbClr val="D09493"/>
            </a:solidFill>
            <a:ln w="0">
              <a:noFill/>
              <a:prstDash val="solid"/>
            </a:ln>
          </c:spPr>
          <c:invertIfNegative val="0"/>
          <c:dLbls>
            <c:spPr>
              <a:noFill/>
              <a:ln>
                <a:noFill/>
                <a:prstDash val="solid"/>
              </a:ln>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'⑥ Visualizations'!$B$1:$F$1</c:f>
              <c:strCache>
                <c:ptCount val="5"/>
                <c:pt idx="0">
                  <c:v>FY2020</c:v>
                </c:pt>
                <c:pt idx="1">
                  <c:v>FY2021</c:v>
                </c:pt>
                <c:pt idx="2">
                  <c:v>FY2022</c:v>
                </c:pt>
                <c:pt idx="3">
                  <c:v>FY2023</c:v>
                </c:pt>
                <c:pt idx="4">
                  <c:v>FY2024</c:v>
                </c:pt>
              </c:strCache>
            </c:strRef>
          </c:cat>
          <c:val>
            <c:numRef>
              <c:f>'⑥ Visualizations'!$D$3</c:f>
              <c:numCache>
                <c:formatCode>General</c:formatCode>
                <c:ptCount val="1"/>
                <c:pt idx="0">
                  <c:v>-455</c:v>
                </c:pt>
              </c:numCache>
            </c:numRef>
          </c:val>
          <c:extLst>
            <c:ext xmlns:c16="http://schemas.microsoft.com/office/drawing/2014/chart" uri="{C3380CC4-5D6E-409C-BE32-E72D297353CC}">
              <c16:uniqueId val="{00000007-42F2-452F-9AAC-14F862D21446}"/>
            </c:ext>
          </c:extLst>
        </c:ser>
        <c:ser>
          <c:idx val="8"/>
          <c:order val="8"/>
          <c:spPr>
            <a:solidFill>
              <a:srgbClr val="B8CD97"/>
            </a:solidFill>
            <a:ln w="0">
              <a:noFill/>
              <a:prstDash val="solid"/>
            </a:ln>
          </c:spPr>
          <c:invertIfNegative val="0"/>
          <c:dLbls>
            <c:spPr>
              <a:noFill/>
              <a:ln>
                <a:noFill/>
                <a:prstDash val="solid"/>
              </a:ln>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'⑥ Visualizations'!$B$1:$F$1</c:f>
              <c:strCache>
                <c:ptCount val="5"/>
                <c:pt idx="0">
                  <c:v>FY2020</c:v>
                </c:pt>
                <c:pt idx="1">
                  <c:v>FY2021</c:v>
                </c:pt>
                <c:pt idx="2">
                  <c:v>FY2022</c:v>
                </c:pt>
                <c:pt idx="3">
                  <c:v>FY2023</c:v>
                </c:pt>
                <c:pt idx="4">
                  <c:v>FY2024</c:v>
                </c:pt>
              </c:strCache>
            </c:strRef>
          </c:cat>
          <c:val>
            <c:numRef>
              <c:f>'⑥ Visualizations'!$E$3</c:f>
              <c:numCache>
                <c:formatCode>General</c:formatCode>
                <c:ptCount val="1"/>
                <c:pt idx="0">
                  <c:v>-267</c:v>
                </c:pt>
              </c:numCache>
            </c:numRef>
          </c:val>
          <c:extLst>
            <c:ext xmlns:c16="http://schemas.microsoft.com/office/drawing/2014/chart" uri="{C3380CC4-5D6E-409C-BE32-E72D297353CC}">
              <c16:uniqueId val="{00000008-42F2-452F-9AAC-14F862D21446}"/>
            </c:ext>
          </c:extLst>
        </c:ser>
        <c:ser>
          <c:idx val="9"/>
          <c:order val="9"/>
          <c:spPr>
            <a:solidFill>
              <a:srgbClr val="A99BBD"/>
            </a:solidFill>
            <a:ln w="0">
              <a:noFill/>
              <a:prstDash val="solid"/>
            </a:ln>
          </c:spPr>
          <c:invertIfNegative val="0"/>
          <c:dLbls>
            <c:spPr>
              <a:noFill/>
              <a:ln>
                <a:noFill/>
                <a:prstDash val="solid"/>
              </a:ln>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'⑥ Visualizations'!$B$1:$F$1</c:f>
              <c:strCache>
                <c:ptCount val="5"/>
                <c:pt idx="0">
                  <c:v>FY2020</c:v>
                </c:pt>
                <c:pt idx="1">
                  <c:v>FY2021</c:v>
                </c:pt>
                <c:pt idx="2">
                  <c:v>FY2022</c:v>
                </c:pt>
                <c:pt idx="3">
                  <c:v>FY2023</c:v>
                </c:pt>
                <c:pt idx="4">
                  <c:v>FY2024</c:v>
                </c:pt>
              </c:strCache>
            </c:strRef>
          </c:cat>
          <c:val>
            <c:numRef>
              <c:f>'⑥ Visualizations'!$F$3</c:f>
              <c:numCache>
                <c:formatCode>General</c:formatCode>
                <c:ptCount val="1"/>
                <c:pt idx="0">
                  <c:v>-147</c:v>
                </c:pt>
              </c:numCache>
            </c:numRef>
          </c:val>
          <c:extLst>
            <c:ext xmlns:c16="http://schemas.microsoft.com/office/drawing/2014/chart" uri="{C3380CC4-5D6E-409C-BE32-E72D297353CC}">
              <c16:uniqueId val="{00000009-42F2-452F-9AAC-14F862D21446}"/>
            </c:ext>
          </c:extLst>
        </c:ser>
        <c:dLbls>
          <c:showLegendKey val="0"/>
          <c:showVal val="0"/>
          <c:showCatName val="0"/>
          <c:showSerName val="0"/>
          <c:showPercent val="0"/>
          <c:showBubbleSize val="0"/>
        </c:dLbls>
        <c:gapWidth val="150"/>
        <c:axId val="53446158"/>
        <c:axId val="19205231"/>
      </c:barChart>
      <c:catAx>
        <c:axId val="53446158"/>
        <c:scaling>
          <c:orientation val="minMax"/>
        </c:scaling>
        <c:delete val="1"/>
        <c:axPos val="b"/>
        <c:title>
          <c:tx>
            <c:rich>
              <a:bodyPr rot="0"/>
              <a:lstStyle/>
              <a:p>
                <a:pPr>
                  <a:defRPr lang="en-US" sz="1000" b="1" strike="noStrike" spc="-1">
                    <a:solidFill>
                      <a:srgbClr val="000000"/>
                    </a:solidFill>
                    <a:latin typeface="Calibri"/>
                  </a:defRPr>
                </a:pPr>
                <a:r>
                  <a:rPr lang="en-US" sz="1000" b="1" strike="noStrike" spc="-1">
                    <a:solidFill>
                      <a:srgbClr val="000000"/>
                    </a:solidFill>
                    <a:latin typeface="Calibri"/>
                  </a:rPr>
                  <a:t>Fiscal Year</a:t>
                </a:r>
              </a:p>
            </c:rich>
          </c:tx>
          <c:overlay val="0"/>
          <c:spPr>
            <a:noFill/>
            <a:ln w="0">
              <a:noFill/>
              <a:prstDash val="solid"/>
            </a:ln>
          </c:spPr>
        </c:title>
        <c:numFmt formatCode="General" sourceLinked="1"/>
        <c:majorTickMark val="none"/>
        <c:minorTickMark val="none"/>
        <c:tickLblPos val="nextTo"/>
        <c:crossAx val="19205231"/>
        <c:crosses val="autoZero"/>
        <c:auto val="1"/>
        <c:lblAlgn val="ctr"/>
        <c:lblOffset val="100"/>
        <c:noMultiLvlLbl val="0"/>
      </c:catAx>
      <c:valAx>
        <c:axId val="19205231"/>
        <c:scaling>
          <c:orientation val="minMax"/>
        </c:scaling>
        <c:delete val="1"/>
        <c:axPos val="l"/>
        <c:majorGridlines>
          <c:spPr>
            <a:ln w="9360">
              <a:solidFill>
                <a:srgbClr val="878787"/>
              </a:solidFill>
              <a:prstDash val="solid"/>
              <a:round/>
            </a:ln>
          </c:spPr>
        </c:majorGridlines>
        <c:title>
          <c:tx>
            <c:rich>
              <a:bodyPr rot="-5400000"/>
              <a:lstStyle/>
              <a:p>
                <a:pPr>
                  <a:defRPr lang="en-US" sz="1000" b="1" strike="noStrike" spc="-1">
                    <a:solidFill>
                      <a:srgbClr val="000000"/>
                    </a:solidFill>
                    <a:latin typeface="Calibri"/>
                  </a:defRPr>
                </a:pPr>
                <a:r>
                  <a:rPr lang="en-US" sz="1000" b="1" strike="noStrike" spc="-1">
                    <a:solidFill>
                      <a:srgbClr val="000000"/>
                    </a:solidFill>
                    <a:latin typeface="Calibri"/>
                  </a:rPr>
                  <a:t>INR Crores</a:t>
                </a:r>
              </a:p>
            </c:rich>
          </c:tx>
          <c:overlay val="0"/>
          <c:spPr>
            <a:noFill/>
            <a:ln w="0">
              <a:noFill/>
              <a:prstDash val="solid"/>
            </a:ln>
          </c:spPr>
        </c:title>
        <c:numFmt formatCode="General" sourceLinked="1"/>
        <c:majorTickMark val="none"/>
        <c:minorTickMark val="none"/>
        <c:tickLblPos val="nextTo"/>
        <c:crossAx val="53446158"/>
        <c:crosses val="autoZero"/>
        <c:crossBetween val="between"/>
      </c:valAx>
    </c:plotArea>
    <c:legend>
      <c:legendPos val="r"/>
      <c:overlay val="1"/>
      <c:spPr>
        <a:noFill/>
        <a:ln w="0">
          <a:noFill/>
          <a:prstDash val="solid"/>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a:lstStyle/>
          <a:p>
            <a:pPr>
              <a:defRPr lang="en-US" sz="1800" b="1" strike="noStrike" spc="-1">
                <a:solidFill>
                  <a:srgbClr val="000000"/>
                </a:solidFill>
                <a:latin typeface="Calibri"/>
              </a:defRPr>
            </a:pPr>
            <a:r>
              <a:rPr lang="en-US" sz="1800" b="1" strike="noStrike" spc="-1">
                <a:solidFill>
                  <a:srgbClr val="000000"/>
                </a:solidFill>
                <a:latin typeface="Calibri"/>
              </a:rPr>
              <a:t>ABFRL — EBITDA &amp; Net Margins (%)</a:t>
            </a:r>
          </a:p>
        </c:rich>
      </c:tx>
      <c:overlay val="0"/>
      <c:spPr>
        <a:noFill/>
        <a:ln w="0">
          <a:noFill/>
          <a:prstDash val="solid"/>
        </a:ln>
      </c:spPr>
    </c:title>
    <c:autoTitleDeleted val="0"/>
    <c:plotArea>
      <c:layout/>
      <c:lineChart>
        <c:grouping val="standard"/>
        <c:varyColors val="0"/>
        <c:ser>
          <c:idx val="0"/>
          <c:order val="0"/>
          <c:tx>
            <c:v>EBITDA%</c:v>
          </c:tx>
          <c:spPr>
            <a:ln w="21960">
              <a:solidFill>
                <a:srgbClr val="1565C0"/>
              </a:solidFill>
              <a:prstDash val="solid"/>
              <a:round/>
            </a:ln>
          </c:spPr>
          <c:marker>
            <c:symbol val="circle"/>
            <c:size val="5"/>
            <c:spPr>
              <a:solidFill>
                <a:srgbClr val="1565C0"/>
              </a:solidFill>
              <a:ln>
                <a:prstDash val="solid"/>
              </a:ln>
            </c:spPr>
          </c:marker>
          <c:dLbls>
            <c:spPr>
              <a:noFill/>
              <a:ln>
                <a:noFill/>
                <a:prstDash val="solid"/>
              </a:ln>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'⑥ Visualizations'!$B$5:$F$5</c:f>
              <c:strCache>
                <c:ptCount val="5"/>
                <c:pt idx="0">
                  <c:v>FY2020</c:v>
                </c:pt>
                <c:pt idx="1">
                  <c:v>FY2021</c:v>
                </c:pt>
                <c:pt idx="2">
                  <c:v>FY2022</c:v>
                </c:pt>
                <c:pt idx="3">
                  <c:v>FY2023</c:v>
                </c:pt>
                <c:pt idx="4">
                  <c:v>FY2024</c:v>
                </c:pt>
              </c:strCache>
            </c:strRef>
          </c:cat>
          <c:val>
            <c:numRef>
              <c:f>'⑥ Visualizations'!$B$6</c:f>
              <c:numCache>
                <c:formatCode>General</c:formatCode>
                <c:ptCount val="1"/>
                <c:pt idx="0">
                  <c:v>15.8</c:v>
                </c:pt>
              </c:numCache>
            </c:numRef>
          </c:val>
          <c:smooth val="1"/>
          <c:extLst>
            <c:ext xmlns:c16="http://schemas.microsoft.com/office/drawing/2014/chart" uri="{C3380CC4-5D6E-409C-BE32-E72D297353CC}">
              <c16:uniqueId val="{00000000-F974-45AA-8861-AE9A6D0081AC}"/>
            </c:ext>
          </c:extLst>
        </c:ser>
        <c:ser>
          <c:idx val="1"/>
          <c:order val="1"/>
          <c:tx>
            <c:v>Net Margin%</c:v>
          </c:tx>
          <c:spPr>
            <a:ln w="21960">
              <a:solidFill>
                <a:srgbClr val="E65100"/>
              </a:solidFill>
              <a:prstDash val="solid"/>
              <a:round/>
            </a:ln>
          </c:spPr>
          <c:marker>
            <c:symbol val="circle"/>
            <c:size val="5"/>
            <c:spPr>
              <a:solidFill>
                <a:srgbClr val="E65100"/>
              </a:solidFill>
              <a:ln>
                <a:prstDash val="solid"/>
              </a:ln>
            </c:spPr>
          </c:marker>
          <c:dLbls>
            <c:spPr>
              <a:noFill/>
              <a:ln>
                <a:noFill/>
                <a:prstDash val="solid"/>
              </a:ln>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'⑥ Visualizations'!$B$5:$F$5</c:f>
              <c:strCache>
                <c:ptCount val="5"/>
                <c:pt idx="0">
                  <c:v>FY2020</c:v>
                </c:pt>
                <c:pt idx="1">
                  <c:v>FY2021</c:v>
                </c:pt>
                <c:pt idx="2">
                  <c:v>FY2022</c:v>
                </c:pt>
                <c:pt idx="3">
                  <c:v>FY2023</c:v>
                </c:pt>
                <c:pt idx="4">
                  <c:v>FY2024</c:v>
                </c:pt>
              </c:strCache>
            </c:strRef>
          </c:cat>
          <c:val>
            <c:numRef>
              <c:f>'⑥ Visualizations'!$C$6</c:f>
              <c:numCache>
                <c:formatCode>General</c:formatCode>
                <c:ptCount val="1"/>
                <c:pt idx="0">
                  <c:v>-3.15</c:v>
                </c:pt>
              </c:numCache>
            </c:numRef>
          </c:val>
          <c:smooth val="1"/>
          <c:extLst>
            <c:ext xmlns:c16="http://schemas.microsoft.com/office/drawing/2014/chart" uri="{C3380CC4-5D6E-409C-BE32-E72D297353CC}">
              <c16:uniqueId val="{00000001-F974-45AA-8861-AE9A6D0081AC}"/>
            </c:ext>
          </c:extLst>
        </c:ser>
        <c:ser>
          <c:idx val="2"/>
          <c:order val="2"/>
          <c:spPr>
            <a:ln w="28440">
              <a:solidFill>
                <a:srgbClr val="87A44B"/>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'⑥ Visualizations'!$B$5:$F$5</c:f>
              <c:strCache>
                <c:ptCount val="5"/>
                <c:pt idx="0">
                  <c:v>FY2020</c:v>
                </c:pt>
                <c:pt idx="1">
                  <c:v>FY2021</c:v>
                </c:pt>
                <c:pt idx="2">
                  <c:v>FY2022</c:v>
                </c:pt>
                <c:pt idx="3">
                  <c:v>FY2023</c:v>
                </c:pt>
                <c:pt idx="4">
                  <c:v>FY2024</c:v>
                </c:pt>
              </c:strCache>
            </c:strRef>
          </c:cat>
          <c:val>
            <c:numRef>
              <c:f>'⑥ Visualizations'!$D$6</c:f>
              <c:numCache>
                <c:formatCode>General</c:formatCode>
                <c:ptCount val="1"/>
                <c:pt idx="0">
                  <c:v>12.08</c:v>
                </c:pt>
              </c:numCache>
            </c:numRef>
          </c:val>
          <c:smooth val="1"/>
          <c:extLst>
            <c:ext xmlns:c16="http://schemas.microsoft.com/office/drawing/2014/chart" uri="{C3380CC4-5D6E-409C-BE32-E72D297353CC}">
              <c16:uniqueId val="{00000002-F974-45AA-8861-AE9A6D0081AC}"/>
            </c:ext>
          </c:extLst>
        </c:ser>
        <c:ser>
          <c:idx val="3"/>
          <c:order val="3"/>
          <c:spPr>
            <a:ln w="28440">
              <a:solidFill>
                <a:srgbClr val="6F568D"/>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'⑥ Visualizations'!$B$5:$F$5</c:f>
              <c:strCache>
                <c:ptCount val="5"/>
                <c:pt idx="0">
                  <c:v>FY2020</c:v>
                </c:pt>
                <c:pt idx="1">
                  <c:v>FY2021</c:v>
                </c:pt>
                <c:pt idx="2">
                  <c:v>FY2022</c:v>
                </c:pt>
                <c:pt idx="3">
                  <c:v>FY2023</c:v>
                </c:pt>
                <c:pt idx="4">
                  <c:v>FY2024</c:v>
                </c:pt>
              </c:strCache>
            </c:strRef>
          </c:cat>
          <c:val>
            <c:numRef>
              <c:f>'⑥ Visualizations'!$E$6</c:f>
              <c:numCache>
                <c:formatCode>General</c:formatCode>
                <c:ptCount val="1"/>
                <c:pt idx="0">
                  <c:v>13.22</c:v>
                </c:pt>
              </c:numCache>
            </c:numRef>
          </c:val>
          <c:smooth val="1"/>
          <c:extLst>
            <c:ext xmlns:c16="http://schemas.microsoft.com/office/drawing/2014/chart" uri="{C3380CC4-5D6E-409C-BE32-E72D297353CC}">
              <c16:uniqueId val="{00000003-F974-45AA-8861-AE9A6D0081AC}"/>
            </c:ext>
          </c:extLst>
        </c:ser>
        <c:ser>
          <c:idx val="4"/>
          <c:order val="4"/>
          <c:spPr>
            <a:ln w="28440">
              <a:solidFill>
                <a:srgbClr val="3D97AF"/>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'⑥ Visualizations'!$B$5:$F$5</c:f>
              <c:strCache>
                <c:ptCount val="5"/>
                <c:pt idx="0">
                  <c:v>FY2020</c:v>
                </c:pt>
                <c:pt idx="1">
                  <c:v>FY2021</c:v>
                </c:pt>
                <c:pt idx="2">
                  <c:v>FY2022</c:v>
                </c:pt>
                <c:pt idx="3">
                  <c:v>FY2023</c:v>
                </c:pt>
                <c:pt idx="4">
                  <c:v>FY2024</c:v>
                </c:pt>
              </c:strCache>
            </c:strRef>
          </c:cat>
          <c:val>
            <c:numRef>
              <c:f>'⑥ Visualizations'!$F$6</c:f>
              <c:numCache>
                <c:formatCode>General</c:formatCode>
                <c:ptCount val="1"/>
                <c:pt idx="0">
                  <c:v>14.6</c:v>
                </c:pt>
              </c:numCache>
            </c:numRef>
          </c:val>
          <c:smooth val="1"/>
          <c:extLst>
            <c:ext xmlns:c16="http://schemas.microsoft.com/office/drawing/2014/chart" uri="{C3380CC4-5D6E-409C-BE32-E72D297353CC}">
              <c16:uniqueId val="{00000004-F974-45AA-8861-AE9A6D0081AC}"/>
            </c:ext>
          </c:extLst>
        </c:ser>
        <c:ser>
          <c:idx val="5"/>
          <c:order val="5"/>
          <c:spPr>
            <a:ln w="28440">
              <a:solidFill>
                <a:srgbClr val="DB8238"/>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'⑥ Visualizations'!$B$5:$F$5</c:f>
              <c:strCache>
                <c:ptCount val="5"/>
                <c:pt idx="0">
                  <c:v>FY2020</c:v>
                </c:pt>
                <c:pt idx="1">
                  <c:v>FY2021</c:v>
                </c:pt>
                <c:pt idx="2">
                  <c:v>FY2022</c:v>
                </c:pt>
                <c:pt idx="3">
                  <c:v>FY2023</c:v>
                </c:pt>
                <c:pt idx="4">
                  <c:v>FY2024</c:v>
                </c:pt>
              </c:strCache>
            </c:strRef>
          </c:cat>
          <c:val>
            <c:numRef>
              <c:f>'⑥ Visualizations'!$B$7</c:f>
              <c:numCache>
                <c:formatCode>General</c:formatCode>
                <c:ptCount val="1"/>
                <c:pt idx="0">
                  <c:v>-2.33</c:v>
                </c:pt>
              </c:numCache>
            </c:numRef>
          </c:val>
          <c:smooth val="1"/>
          <c:extLst>
            <c:ext xmlns:c16="http://schemas.microsoft.com/office/drawing/2014/chart" uri="{C3380CC4-5D6E-409C-BE32-E72D297353CC}">
              <c16:uniqueId val="{00000005-F974-45AA-8861-AE9A6D0081AC}"/>
            </c:ext>
          </c:extLst>
        </c:ser>
        <c:ser>
          <c:idx val="6"/>
          <c:order val="6"/>
          <c:spPr>
            <a:ln w="28440">
              <a:solidFill>
                <a:srgbClr val="8EA5CA"/>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'⑥ Visualizations'!$B$5:$F$5</c:f>
              <c:strCache>
                <c:ptCount val="5"/>
                <c:pt idx="0">
                  <c:v>FY2020</c:v>
                </c:pt>
                <c:pt idx="1">
                  <c:v>FY2021</c:v>
                </c:pt>
                <c:pt idx="2">
                  <c:v>FY2022</c:v>
                </c:pt>
                <c:pt idx="3">
                  <c:v>FY2023</c:v>
                </c:pt>
                <c:pt idx="4">
                  <c:v>FY2024</c:v>
                </c:pt>
              </c:strCache>
            </c:strRef>
          </c:cat>
          <c:val>
            <c:numRef>
              <c:f>'⑥ Visualizations'!$C$7</c:f>
              <c:numCache>
                <c:formatCode>General</c:formatCode>
                <c:ptCount val="1"/>
                <c:pt idx="0">
                  <c:v>-29.85</c:v>
                </c:pt>
              </c:numCache>
            </c:numRef>
          </c:val>
          <c:smooth val="1"/>
          <c:extLst>
            <c:ext xmlns:c16="http://schemas.microsoft.com/office/drawing/2014/chart" uri="{C3380CC4-5D6E-409C-BE32-E72D297353CC}">
              <c16:uniqueId val="{00000006-F974-45AA-8861-AE9A6D0081AC}"/>
            </c:ext>
          </c:extLst>
        </c:ser>
        <c:ser>
          <c:idx val="7"/>
          <c:order val="7"/>
          <c:spPr>
            <a:ln w="28440">
              <a:solidFill>
                <a:srgbClr val="CC8F8E"/>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'⑥ Visualizations'!$B$5:$F$5</c:f>
              <c:strCache>
                <c:ptCount val="5"/>
                <c:pt idx="0">
                  <c:v>FY2020</c:v>
                </c:pt>
                <c:pt idx="1">
                  <c:v>FY2021</c:v>
                </c:pt>
                <c:pt idx="2">
                  <c:v>FY2022</c:v>
                </c:pt>
                <c:pt idx="3">
                  <c:v>FY2023</c:v>
                </c:pt>
                <c:pt idx="4">
                  <c:v>FY2024</c:v>
                </c:pt>
              </c:strCache>
            </c:strRef>
          </c:cat>
          <c:val>
            <c:numRef>
              <c:f>'⑥ Visualizations'!$D$7</c:f>
              <c:numCache>
                <c:formatCode>General</c:formatCode>
                <c:ptCount val="1"/>
                <c:pt idx="0">
                  <c:v>-5.04</c:v>
                </c:pt>
              </c:numCache>
            </c:numRef>
          </c:val>
          <c:smooth val="1"/>
          <c:extLst>
            <c:ext xmlns:c16="http://schemas.microsoft.com/office/drawing/2014/chart" uri="{C3380CC4-5D6E-409C-BE32-E72D297353CC}">
              <c16:uniqueId val="{00000007-F974-45AA-8861-AE9A6D0081AC}"/>
            </c:ext>
          </c:extLst>
        </c:ser>
        <c:ser>
          <c:idx val="8"/>
          <c:order val="8"/>
          <c:spPr>
            <a:ln w="28440">
              <a:solidFill>
                <a:srgbClr val="B3C992"/>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'⑥ Visualizations'!$B$5:$F$5</c:f>
              <c:strCache>
                <c:ptCount val="5"/>
                <c:pt idx="0">
                  <c:v>FY2020</c:v>
                </c:pt>
                <c:pt idx="1">
                  <c:v>FY2021</c:v>
                </c:pt>
                <c:pt idx="2">
                  <c:v>FY2022</c:v>
                </c:pt>
                <c:pt idx="3">
                  <c:v>FY2023</c:v>
                </c:pt>
                <c:pt idx="4">
                  <c:v>FY2024</c:v>
                </c:pt>
              </c:strCache>
            </c:strRef>
          </c:cat>
          <c:val>
            <c:numRef>
              <c:f>'⑥ Visualizations'!$E$7</c:f>
              <c:numCache>
                <c:formatCode>General</c:formatCode>
                <c:ptCount val="1"/>
                <c:pt idx="0">
                  <c:v>-2.15</c:v>
                </c:pt>
              </c:numCache>
            </c:numRef>
          </c:val>
          <c:smooth val="1"/>
          <c:extLst>
            <c:ext xmlns:c16="http://schemas.microsoft.com/office/drawing/2014/chart" uri="{C3380CC4-5D6E-409C-BE32-E72D297353CC}">
              <c16:uniqueId val="{00000008-F974-45AA-8861-AE9A6D0081AC}"/>
            </c:ext>
          </c:extLst>
        </c:ser>
        <c:ser>
          <c:idx val="9"/>
          <c:order val="9"/>
          <c:spPr>
            <a:ln w="28440">
              <a:solidFill>
                <a:srgbClr val="A596B9"/>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'⑥ Visualizations'!$B$5:$F$5</c:f>
              <c:strCache>
                <c:ptCount val="5"/>
                <c:pt idx="0">
                  <c:v>FY2020</c:v>
                </c:pt>
                <c:pt idx="1">
                  <c:v>FY2021</c:v>
                </c:pt>
                <c:pt idx="2">
                  <c:v>FY2022</c:v>
                </c:pt>
                <c:pt idx="3">
                  <c:v>FY2023</c:v>
                </c:pt>
                <c:pt idx="4">
                  <c:v>FY2024</c:v>
                </c:pt>
              </c:strCache>
            </c:strRef>
          </c:cat>
          <c:val>
            <c:numRef>
              <c:f>'⑥ Visualizations'!$F$7</c:f>
              <c:numCache>
                <c:formatCode>General</c:formatCode>
                <c:ptCount val="1"/>
                <c:pt idx="0">
                  <c:v>-1</c:v>
                </c:pt>
              </c:numCache>
            </c:numRef>
          </c:val>
          <c:smooth val="1"/>
          <c:extLst>
            <c:ext xmlns:c16="http://schemas.microsoft.com/office/drawing/2014/chart" uri="{C3380CC4-5D6E-409C-BE32-E72D297353CC}">
              <c16:uniqueId val="{00000009-F974-45AA-8861-AE9A6D0081AC}"/>
            </c:ext>
          </c:extLst>
        </c:ser>
        <c:dLbls>
          <c:showLegendKey val="0"/>
          <c:showVal val="0"/>
          <c:showCatName val="0"/>
          <c:showSerName val="0"/>
          <c:showPercent val="0"/>
          <c:showBubbleSize val="0"/>
        </c:dLbls>
        <c:hiLowLines>
          <c:spPr>
            <a:ln w="0">
              <a:noFill/>
              <a:prstDash val="solid"/>
            </a:ln>
          </c:spPr>
        </c:hiLowLines>
        <c:marker val="1"/>
        <c:smooth val="0"/>
        <c:axId val="50736593"/>
        <c:axId val="76101880"/>
      </c:lineChart>
      <c:catAx>
        <c:axId val="50736593"/>
        <c:scaling>
          <c:orientation val="minMax"/>
        </c:scaling>
        <c:delete val="1"/>
        <c:axPos val="b"/>
        <c:title>
          <c:tx>
            <c:rich>
              <a:bodyPr rot="0"/>
              <a:lstStyle/>
              <a:p>
                <a:pPr>
                  <a:defRPr lang="en-US" sz="1000" b="1" strike="noStrike" spc="-1">
                    <a:solidFill>
                      <a:srgbClr val="000000"/>
                    </a:solidFill>
                    <a:latin typeface="Calibri"/>
                  </a:defRPr>
                </a:pPr>
                <a:r>
                  <a:rPr lang="en-US" sz="1000" b="1" strike="noStrike" spc="-1">
                    <a:solidFill>
                      <a:srgbClr val="000000"/>
                    </a:solidFill>
                    <a:latin typeface="Calibri"/>
                  </a:rPr>
                  <a:t>Fiscal Year</a:t>
                </a:r>
              </a:p>
            </c:rich>
          </c:tx>
          <c:overlay val="0"/>
          <c:spPr>
            <a:noFill/>
            <a:ln w="0">
              <a:noFill/>
              <a:prstDash val="solid"/>
            </a:ln>
          </c:spPr>
        </c:title>
        <c:numFmt formatCode="General" sourceLinked="1"/>
        <c:majorTickMark val="none"/>
        <c:minorTickMark val="none"/>
        <c:tickLblPos val="nextTo"/>
        <c:crossAx val="76101880"/>
        <c:crosses val="autoZero"/>
        <c:auto val="1"/>
        <c:lblAlgn val="ctr"/>
        <c:lblOffset val="100"/>
        <c:noMultiLvlLbl val="0"/>
      </c:catAx>
      <c:valAx>
        <c:axId val="76101880"/>
        <c:scaling>
          <c:orientation val="minMax"/>
        </c:scaling>
        <c:delete val="1"/>
        <c:axPos val="l"/>
        <c:majorGridlines>
          <c:spPr>
            <a:ln w="9360">
              <a:solidFill>
                <a:srgbClr val="878787"/>
              </a:solidFill>
              <a:prstDash val="solid"/>
              <a:round/>
            </a:ln>
          </c:spPr>
        </c:majorGridlines>
        <c:title>
          <c:tx>
            <c:rich>
              <a:bodyPr rot="-5400000"/>
              <a:lstStyle/>
              <a:p>
                <a:pPr>
                  <a:defRPr lang="en-US" sz="1000" b="1" strike="noStrike" spc="-1">
                    <a:solidFill>
                      <a:srgbClr val="000000"/>
                    </a:solidFill>
                    <a:latin typeface="Calibri"/>
                  </a:defRPr>
                </a:pPr>
                <a:r>
                  <a:rPr lang="en-US" sz="1000" b="1" strike="noStrike" spc="-1">
                    <a:solidFill>
                      <a:srgbClr val="000000"/>
                    </a:solidFill>
                    <a:latin typeface="Calibri"/>
                  </a:rPr>
                  <a:t>Margin %</a:t>
                </a:r>
              </a:p>
            </c:rich>
          </c:tx>
          <c:overlay val="0"/>
          <c:spPr>
            <a:noFill/>
            <a:ln w="0">
              <a:noFill/>
              <a:prstDash val="solid"/>
            </a:ln>
          </c:spPr>
        </c:title>
        <c:numFmt formatCode="General" sourceLinked="1"/>
        <c:majorTickMark val="none"/>
        <c:minorTickMark val="none"/>
        <c:tickLblPos val="nextTo"/>
        <c:crossAx val="50736593"/>
        <c:crosses val="autoZero"/>
        <c:crossBetween val="between"/>
      </c:valAx>
    </c:plotArea>
    <c:legend>
      <c:legendPos val="r"/>
      <c:overlay val="1"/>
      <c:spPr>
        <a:noFill/>
        <a:ln w="0">
          <a:noFill/>
          <a:prstDash val="solid"/>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a:lstStyle/>
          <a:p>
            <a:pPr>
              <a:defRPr lang="en-US" sz="1800" b="1" strike="noStrike" spc="-1">
                <a:solidFill>
                  <a:srgbClr val="000000"/>
                </a:solidFill>
                <a:latin typeface="Calibri"/>
              </a:defRPr>
            </a:pPr>
            <a:r>
              <a:rPr lang="en-US" sz="1800" b="1" strike="noStrike" spc="-1">
                <a:solidFill>
                  <a:srgbClr val="000000"/>
                </a:solidFill>
                <a:latin typeface="Calibri"/>
              </a:rPr>
              <a:t>ABFRL — Liquidity Ratios (x)</a:t>
            </a:r>
          </a:p>
        </c:rich>
      </c:tx>
      <c:overlay val="0"/>
      <c:spPr>
        <a:noFill/>
        <a:ln w="0">
          <a:noFill/>
          <a:prstDash val="solid"/>
        </a:ln>
      </c:spPr>
    </c:title>
    <c:autoTitleDeleted val="0"/>
    <c:plotArea>
      <c:layout/>
      <c:lineChart>
        <c:grouping val="standard"/>
        <c:varyColors val="0"/>
        <c:ser>
          <c:idx val="0"/>
          <c:order val="0"/>
          <c:tx>
            <c:v>Current</c:v>
          </c:tx>
          <c:spPr>
            <a:ln w="21960">
              <a:solidFill>
                <a:srgbClr val="1565C0"/>
              </a:solidFill>
              <a:prstDash val="solid"/>
              <a:round/>
            </a:ln>
          </c:spPr>
          <c:marker>
            <c:symbol val="circle"/>
            <c:size val="5"/>
            <c:spPr>
              <a:solidFill>
                <a:srgbClr val="1565C0"/>
              </a:solidFill>
              <a:ln>
                <a:prstDash val="solid"/>
              </a:ln>
            </c:spPr>
          </c:marker>
          <c:dLbls>
            <c:spPr>
              <a:noFill/>
              <a:ln>
                <a:noFill/>
                <a:prstDash val="solid"/>
              </a:ln>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'⑥ Visualizations'!$B$9:$F$9</c:f>
              <c:strCache>
                <c:ptCount val="5"/>
                <c:pt idx="0">
                  <c:v>FY2020</c:v>
                </c:pt>
                <c:pt idx="1">
                  <c:v>FY2021</c:v>
                </c:pt>
                <c:pt idx="2">
                  <c:v>FY2022</c:v>
                </c:pt>
                <c:pt idx="3">
                  <c:v>FY2023</c:v>
                </c:pt>
                <c:pt idx="4">
                  <c:v>FY2024</c:v>
                </c:pt>
              </c:strCache>
            </c:strRef>
          </c:cat>
          <c:val>
            <c:numRef>
              <c:f>'⑥ Visualizations'!$B$10</c:f>
              <c:numCache>
                <c:formatCode>General</c:formatCode>
                <c:ptCount val="1"/>
                <c:pt idx="0">
                  <c:v>1.52</c:v>
                </c:pt>
              </c:numCache>
            </c:numRef>
          </c:val>
          <c:smooth val="1"/>
          <c:extLst>
            <c:ext xmlns:c16="http://schemas.microsoft.com/office/drawing/2014/chart" uri="{C3380CC4-5D6E-409C-BE32-E72D297353CC}">
              <c16:uniqueId val="{00000000-6209-4A1E-A8BF-66D762AFBC6A}"/>
            </c:ext>
          </c:extLst>
        </c:ser>
        <c:ser>
          <c:idx val="1"/>
          <c:order val="1"/>
          <c:tx>
            <c:v>Quick</c:v>
          </c:tx>
          <c:spPr>
            <a:ln w="21960">
              <a:solidFill>
                <a:srgbClr val="E65100"/>
              </a:solidFill>
              <a:prstDash val="solid"/>
              <a:round/>
            </a:ln>
          </c:spPr>
          <c:marker>
            <c:symbol val="circle"/>
            <c:size val="5"/>
            <c:spPr>
              <a:solidFill>
                <a:srgbClr val="E65100"/>
              </a:solidFill>
              <a:ln>
                <a:prstDash val="solid"/>
              </a:ln>
            </c:spPr>
          </c:marker>
          <c:dLbls>
            <c:spPr>
              <a:noFill/>
              <a:ln>
                <a:noFill/>
                <a:prstDash val="solid"/>
              </a:ln>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'⑥ Visualizations'!$B$9:$F$9</c:f>
              <c:strCache>
                <c:ptCount val="5"/>
                <c:pt idx="0">
                  <c:v>FY2020</c:v>
                </c:pt>
                <c:pt idx="1">
                  <c:v>FY2021</c:v>
                </c:pt>
                <c:pt idx="2">
                  <c:v>FY2022</c:v>
                </c:pt>
                <c:pt idx="3">
                  <c:v>FY2023</c:v>
                </c:pt>
                <c:pt idx="4">
                  <c:v>FY2024</c:v>
                </c:pt>
              </c:strCache>
            </c:strRef>
          </c:cat>
          <c:val>
            <c:numRef>
              <c:f>'⑥ Visualizations'!$C$10</c:f>
              <c:numCache>
                <c:formatCode>General</c:formatCode>
                <c:ptCount val="1"/>
                <c:pt idx="0">
                  <c:v>1.39</c:v>
                </c:pt>
              </c:numCache>
            </c:numRef>
          </c:val>
          <c:smooth val="1"/>
          <c:extLst>
            <c:ext xmlns:c16="http://schemas.microsoft.com/office/drawing/2014/chart" uri="{C3380CC4-5D6E-409C-BE32-E72D297353CC}">
              <c16:uniqueId val="{00000001-6209-4A1E-A8BF-66D762AFBC6A}"/>
            </c:ext>
          </c:extLst>
        </c:ser>
        <c:ser>
          <c:idx val="2"/>
          <c:order val="2"/>
          <c:spPr>
            <a:ln w="28440">
              <a:solidFill>
                <a:srgbClr val="87A44B"/>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'⑥ Visualizations'!$B$9:$F$9</c:f>
              <c:strCache>
                <c:ptCount val="5"/>
                <c:pt idx="0">
                  <c:v>FY2020</c:v>
                </c:pt>
                <c:pt idx="1">
                  <c:v>FY2021</c:v>
                </c:pt>
                <c:pt idx="2">
                  <c:v>FY2022</c:v>
                </c:pt>
                <c:pt idx="3">
                  <c:v>FY2023</c:v>
                </c:pt>
                <c:pt idx="4">
                  <c:v>FY2024</c:v>
                </c:pt>
              </c:strCache>
            </c:strRef>
          </c:cat>
          <c:val>
            <c:numRef>
              <c:f>'⑥ Visualizations'!$D$10</c:f>
              <c:numCache>
                <c:formatCode>General</c:formatCode>
                <c:ptCount val="1"/>
                <c:pt idx="0">
                  <c:v>1.4</c:v>
                </c:pt>
              </c:numCache>
            </c:numRef>
          </c:val>
          <c:smooth val="1"/>
          <c:extLst>
            <c:ext xmlns:c16="http://schemas.microsoft.com/office/drawing/2014/chart" uri="{C3380CC4-5D6E-409C-BE32-E72D297353CC}">
              <c16:uniqueId val="{00000002-6209-4A1E-A8BF-66D762AFBC6A}"/>
            </c:ext>
          </c:extLst>
        </c:ser>
        <c:ser>
          <c:idx val="3"/>
          <c:order val="3"/>
          <c:spPr>
            <a:ln w="28440">
              <a:solidFill>
                <a:srgbClr val="6F568D"/>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'⑥ Visualizations'!$B$9:$F$9</c:f>
              <c:strCache>
                <c:ptCount val="5"/>
                <c:pt idx="0">
                  <c:v>FY2020</c:v>
                </c:pt>
                <c:pt idx="1">
                  <c:v>FY2021</c:v>
                </c:pt>
                <c:pt idx="2">
                  <c:v>FY2022</c:v>
                </c:pt>
                <c:pt idx="3">
                  <c:v>FY2023</c:v>
                </c:pt>
                <c:pt idx="4">
                  <c:v>FY2024</c:v>
                </c:pt>
              </c:strCache>
            </c:strRef>
          </c:cat>
          <c:val>
            <c:numRef>
              <c:f>'⑥ Visualizations'!$E$10</c:f>
              <c:numCache>
                <c:formatCode>General</c:formatCode>
                <c:ptCount val="1"/>
                <c:pt idx="0">
                  <c:v>1.24</c:v>
                </c:pt>
              </c:numCache>
            </c:numRef>
          </c:val>
          <c:smooth val="1"/>
          <c:extLst>
            <c:ext xmlns:c16="http://schemas.microsoft.com/office/drawing/2014/chart" uri="{C3380CC4-5D6E-409C-BE32-E72D297353CC}">
              <c16:uniqueId val="{00000003-6209-4A1E-A8BF-66D762AFBC6A}"/>
            </c:ext>
          </c:extLst>
        </c:ser>
        <c:ser>
          <c:idx val="4"/>
          <c:order val="4"/>
          <c:spPr>
            <a:ln w="28440">
              <a:solidFill>
                <a:srgbClr val="3D97AF"/>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'⑥ Visualizations'!$B$9:$F$9</c:f>
              <c:strCache>
                <c:ptCount val="5"/>
                <c:pt idx="0">
                  <c:v>FY2020</c:v>
                </c:pt>
                <c:pt idx="1">
                  <c:v>FY2021</c:v>
                </c:pt>
                <c:pt idx="2">
                  <c:v>FY2022</c:v>
                </c:pt>
                <c:pt idx="3">
                  <c:v>FY2023</c:v>
                </c:pt>
                <c:pt idx="4">
                  <c:v>FY2024</c:v>
                </c:pt>
              </c:strCache>
            </c:strRef>
          </c:cat>
          <c:val>
            <c:numRef>
              <c:f>'⑥ Visualizations'!$F$10</c:f>
              <c:numCache>
                <c:formatCode>General</c:formatCode>
                <c:ptCount val="1"/>
                <c:pt idx="0">
                  <c:v>1.18</c:v>
                </c:pt>
              </c:numCache>
            </c:numRef>
          </c:val>
          <c:smooth val="1"/>
          <c:extLst>
            <c:ext xmlns:c16="http://schemas.microsoft.com/office/drawing/2014/chart" uri="{C3380CC4-5D6E-409C-BE32-E72D297353CC}">
              <c16:uniqueId val="{00000004-6209-4A1E-A8BF-66D762AFBC6A}"/>
            </c:ext>
          </c:extLst>
        </c:ser>
        <c:ser>
          <c:idx val="5"/>
          <c:order val="5"/>
          <c:spPr>
            <a:ln w="28440">
              <a:solidFill>
                <a:srgbClr val="DB8238"/>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'⑥ Visualizations'!$B$9:$F$9</c:f>
              <c:strCache>
                <c:ptCount val="5"/>
                <c:pt idx="0">
                  <c:v>FY2020</c:v>
                </c:pt>
                <c:pt idx="1">
                  <c:v>FY2021</c:v>
                </c:pt>
                <c:pt idx="2">
                  <c:v>FY2022</c:v>
                </c:pt>
                <c:pt idx="3">
                  <c:v>FY2023</c:v>
                </c:pt>
                <c:pt idx="4">
                  <c:v>FY2024</c:v>
                </c:pt>
              </c:strCache>
            </c:strRef>
          </c:cat>
          <c:val>
            <c:numRef>
              <c:f>'⑥ Visualizations'!$B$11</c:f>
              <c:numCache>
                <c:formatCode>General</c:formatCode>
                <c:ptCount val="1"/>
                <c:pt idx="0">
                  <c:v>0.31</c:v>
                </c:pt>
              </c:numCache>
            </c:numRef>
          </c:val>
          <c:smooth val="1"/>
          <c:extLst>
            <c:ext xmlns:c16="http://schemas.microsoft.com/office/drawing/2014/chart" uri="{C3380CC4-5D6E-409C-BE32-E72D297353CC}">
              <c16:uniqueId val="{00000005-6209-4A1E-A8BF-66D762AFBC6A}"/>
            </c:ext>
          </c:extLst>
        </c:ser>
        <c:ser>
          <c:idx val="6"/>
          <c:order val="6"/>
          <c:spPr>
            <a:ln w="28440">
              <a:solidFill>
                <a:srgbClr val="8EA5CA"/>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'⑥ Visualizations'!$B$9:$F$9</c:f>
              <c:strCache>
                <c:ptCount val="5"/>
                <c:pt idx="0">
                  <c:v>FY2020</c:v>
                </c:pt>
                <c:pt idx="1">
                  <c:v>FY2021</c:v>
                </c:pt>
                <c:pt idx="2">
                  <c:v>FY2022</c:v>
                </c:pt>
                <c:pt idx="3">
                  <c:v>FY2023</c:v>
                </c:pt>
                <c:pt idx="4">
                  <c:v>FY2024</c:v>
                </c:pt>
              </c:strCache>
            </c:strRef>
          </c:cat>
          <c:val>
            <c:numRef>
              <c:f>'⑥ Visualizations'!$C$11</c:f>
              <c:numCache>
                <c:formatCode>General</c:formatCode>
                <c:ptCount val="1"/>
                <c:pt idx="0">
                  <c:v>0.39</c:v>
                </c:pt>
              </c:numCache>
            </c:numRef>
          </c:val>
          <c:smooth val="1"/>
          <c:extLst>
            <c:ext xmlns:c16="http://schemas.microsoft.com/office/drawing/2014/chart" uri="{C3380CC4-5D6E-409C-BE32-E72D297353CC}">
              <c16:uniqueId val="{00000006-6209-4A1E-A8BF-66D762AFBC6A}"/>
            </c:ext>
          </c:extLst>
        </c:ser>
        <c:ser>
          <c:idx val="7"/>
          <c:order val="7"/>
          <c:spPr>
            <a:ln w="28440">
              <a:solidFill>
                <a:srgbClr val="CC8F8E"/>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'⑥ Visualizations'!$B$9:$F$9</c:f>
              <c:strCache>
                <c:ptCount val="5"/>
                <c:pt idx="0">
                  <c:v>FY2020</c:v>
                </c:pt>
                <c:pt idx="1">
                  <c:v>FY2021</c:v>
                </c:pt>
                <c:pt idx="2">
                  <c:v>FY2022</c:v>
                </c:pt>
                <c:pt idx="3">
                  <c:v>FY2023</c:v>
                </c:pt>
                <c:pt idx="4">
                  <c:v>FY2024</c:v>
                </c:pt>
              </c:strCache>
            </c:strRef>
          </c:cat>
          <c:val>
            <c:numRef>
              <c:f>'⑥ Visualizations'!$D$11</c:f>
              <c:numCache>
                <c:formatCode>General</c:formatCode>
                <c:ptCount val="1"/>
                <c:pt idx="0">
                  <c:v>0.3</c:v>
                </c:pt>
              </c:numCache>
            </c:numRef>
          </c:val>
          <c:smooth val="1"/>
          <c:extLst>
            <c:ext xmlns:c16="http://schemas.microsoft.com/office/drawing/2014/chart" uri="{C3380CC4-5D6E-409C-BE32-E72D297353CC}">
              <c16:uniqueId val="{00000007-6209-4A1E-A8BF-66D762AFBC6A}"/>
            </c:ext>
          </c:extLst>
        </c:ser>
        <c:ser>
          <c:idx val="8"/>
          <c:order val="8"/>
          <c:spPr>
            <a:ln w="28440">
              <a:solidFill>
                <a:srgbClr val="B3C992"/>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'⑥ Visualizations'!$B$9:$F$9</c:f>
              <c:strCache>
                <c:ptCount val="5"/>
                <c:pt idx="0">
                  <c:v>FY2020</c:v>
                </c:pt>
                <c:pt idx="1">
                  <c:v>FY2021</c:v>
                </c:pt>
                <c:pt idx="2">
                  <c:v>FY2022</c:v>
                </c:pt>
                <c:pt idx="3">
                  <c:v>FY2023</c:v>
                </c:pt>
                <c:pt idx="4">
                  <c:v>FY2024</c:v>
                </c:pt>
              </c:strCache>
            </c:strRef>
          </c:cat>
          <c:val>
            <c:numRef>
              <c:f>'⑥ Visualizations'!$E$11</c:f>
              <c:numCache>
                <c:formatCode>General</c:formatCode>
                <c:ptCount val="1"/>
                <c:pt idx="0">
                  <c:v>0.37</c:v>
                </c:pt>
              </c:numCache>
            </c:numRef>
          </c:val>
          <c:smooth val="1"/>
          <c:extLst>
            <c:ext xmlns:c16="http://schemas.microsoft.com/office/drawing/2014/chart" uri="{C3380CC4-5D6E-409C-BE32-E72D297353CC}">
              <c16:uniqueId val="{00000008-6209-4A1E-A8BF-66D762AFBC6A}"/>
            </c:ext>
          </c:extLst>
        </c:ser>
        <c:ser>
          <c:idx val="9"/>
          <c:order val="9"/>
          <c:spPr>
            <a:ln w="28440">
              <a:solidFill>
                <a:srgbClr val="A596B9"/>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'⑥ Visualizations'!$B$9:$F$9</c:f>
              <c:strCache>
                <c:ptCount val="5"/>
                <c:pt idx="0">
                  <c:v>FY2020</c:v>
                </c:pt>
                <c:pt idx="1">
                  <c:v>FY2021</c:v>
                </c:pt>
                <c:pt idx="2">
                  <c:v>FY2022</c:v>
                </c:pt>
                <c:pt idx="3">
                  <c:v>FY2023</c:v>
                </c:pt>
                <c:pt idx="4">
                  <c:v>FY2024</c:v>
                </c:pt>
              </c:strCache>
            </c:strRef>
          </c:cat>
          <c:val>
            <c:numRef>
              <c:f>'⑥ Visualizations'!$F$11</c:f>
              <c:numCache>
                <c:formatCode>General</c:formatCode>
                <c:ptCount val="1"/>
                <c:pt idx="0">
                  <c:v>0.35</c:v>
                </c:pt>
              </c:numCache>
            </c:numRef>
          </c:val>
          <c:smooth val="1"/>
          <c:extLst>
            <c:ext xmlns:c16="http://schemas.microsoft.com/office/drawing/2014/chart" uri="{C3380CC4-5D6E-409C-BE32-E72D297353CC}">
              <c16:uniqueId val="{00000009-6209-4A1E-A8BF-66D762AFBC6A}"/>
            </c:ext>
          </c:extLst>
        </c:ser>
        <c:dLbls>
          <c:showLegendKey val="0"/>
          <c:showVal val="0"/>
          <c:showCatName val="0"/>
          <c:showSerName val="0"/>
          <c:showPercent val="0"/>
          <c:showBubbleSize val="0"/>
        </c:dLbls>
        <c:hiLowLines>
          <c:spPr>
            <a:ln w="0">
              <a:noFill/>
              <a:prstDash val="solid"/>
            </a:ln>
          </c:spPr>
        </c:hiLowLines>
        <c:marker val="1"/>
        <c:smooth val="0"/>
        <c:axId val="30827838"/>
        <c:axId val="75079871"/>
      </c:lineChart>
      <c:catAx>
        <c:axId val="30827838"/>
        <c:scaling>
          <c:orientation val="minMax"/>
        </c:scaling>
        <c:delete val="1"/>
        <c:axPos val="b"/>
        <c:title>
          <c:tx>
            <c:rich>
              <a:bodyPr rot="0"/>
              <a:lstStyle/>
              <a:p>
                <a:pPr>
                  <a:defRPr lang="en-US" sz="1000" b="1" strike="noStrike" spc="-1">
                    <a:solidFill>
                      <a:srgbClr val="000000"/>
                    </a:solidFill>
                    <a:latin typeface="Calibri"/>
                  </a:defRPr>
                </a:pPr>
                <a:r>
                  <a:rPr lang="en-US" sz="1000" b="1" strike="noStrike" spc="-1">
                    <a:solidFill>
                      <a:srgbClr val="000000"/>
                    </a:solidFill>
                    <a:latin typeface="Calibri"/>
                  </a:rPr>
                  <a:t>Fiscal Year</a:t>
                </a:r>
              </a:p>
            </c:rich>
          </c:tx>
          <c:overlay val="0"/>
          <c:spPr>
            <a:noFill/>
            <a:ln w="0">
              <a:noFill/>
              <a:prstDash val="solid"/>
            </a:ln>
          </c:spPr>
        </c:title>
        <c:numFmt formatCode="General" sourceLinked="1"/>
        <c:majorTickMark val="none"/>
        <c:minorTickMark val="none"/>
        <c:tickLblPos val="nextTo"/>
        <c:crossAx val="75079871"/>
        <c:crosses val="autoZero"/>
        <c:auto val="1"/>
        <c:lblAlgn val="ctr"/>
        <c:lblOffset val="100"/>
        <c:noMultiLvlLbl val="0"/>
      </c:catAx>
      <c:valAx>
        <c:axId val="75079871"/>
        <c:scaling>
          <c:orientation val="minMax"/>
        </c:scaling>
        <c:delete val="1"/>
        <c:axPos val="l"/>
        <c:majorGridlines>
          <c:spPr>
            <a:ln w="9360">
              <a:solidFill>
                <a:srgbClr val="878787"/>
              </a:solidFill>
              <a:prstDash val="solid"/>
              <a:round/>
            </a:ln>
          </c:spPr>
        </c:majorGridlines>
        <c:title>
          <c:tx>
            <c:rich>
              <a:bodyPr rot="-5400000"/>
              <a:lstStyle/>
              <a:p>
                <a:pPr>
                  <a:defRPr lang="en-US" sz="1000" b="1" strike="noStrike" spc="-1">
                    <a:solidFill>
                      <a:srgbClr val="000000"/>
                    </a:solidFill>
                    <a:latin typeface="Calibri"/>
                  </a:defRPr>
                </a:pPr>
                <a:r>
                  <a:rPr lang="en-US" sz="1000" b="1" strike="noStrike" spc="-1">
                    <a:solidFill>
                      <a:srgbClr val="000000"/>
                    </a:solidFill>
                    <a:latin typeface="Calibri"/>
                  </a:rPr>
                  <a:t>Ratio (x)</a:t>
                </a:r>
              </a:p>
            </c:rich>
          </c:tx>
          <c:overlay val="0"/>
          <c:spPr>
            <a:noFill/>
            <a:ln w="0">
              <a:noFill/>
              <a:prstDash val="solid"/>
            </a:ln>
          </c:spPr>
        </c:title>
        <c:numFmt formatCode="General" sourceLinked="1"/>
        <c:majorTickMark val="none"/>
        <c:minorTickMark val="none"/>
        <c:tickLblPos val="nextTo"/>
        <c:crossAx val="30827838"/>
        <c:crosses val="autoZero"/>
        <c:crossBetween val="between"/>
      </c:valAx>
    </c:plotArea>
    <c:legend>
      <c:legendPos val="r"/>
      <c:overlay val="1"/>
      <c:spPr>
        <a:noFill/>
        <a:ln w="0">
          <a:noFill/>
          <a:prstDash val="solid"/>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a:lstStyle/>
          <a:p>
            <a:pPr>
              <a:defRPr lang="en-US" sz="1800" b="1" strike="noStrike" spc="-1">
                <a:solidFill>
                  <a:srgbClr val="000000"/>
                </a:solidFill>
                <a:latin typeface="Calibri"/>
              </a:defRPr>
            </a:pPr>
            <a:r>
              <a:rPr lang="en-US" sz="1800" b="1" strike="noStrike" spc="-1">
                <a:solidFill>
                  <a:srgbClr val="000000"/>
                </a:solidFill>
                <a:latin typeface="Calibri"/>
              </a:rPr>
              <a:t>ABFRL — CFO vs FCF (₹ Cr)</a:t>
            </a:r>
          </a:p>
        </c:rich>
      </c:tx>
      <c:overlay val="0"/>
      <c:spPr>
        <a:noFill/>
        <a:ln w="0">
          <a:noFill/>
          <a:prstDash val="solid"/>
        </a:ln>
      </c:spPr>
    </c:title>
    <c:autoTitleDeleted val="0"/>
    <c:plotArea>
      <c:layout/>
      <c:barChart>
        <c:barDir val="col"/>
        <c:grouping val="clustered"/>
        <c:varyColors val="0"/>
        <c:ser>
          <c:idx val="0"/>
          <c:order val="0"/>
          <c:tx>
            <c:v>CFO</c:v>
          </c:tx>
          <c:spPr>
            <a:solidFill>
              <a:srgbClr val="1565C0"/>
            </a:solidFill>
            <a:ln w="0">
              <a:noFill/>
              <a:prstDash val="solid"/>
            </a:ln>
          </c:spPr>
          <c:invertIfNegative val="0"/>
          <c:dLbls>
            <c:spPr>
              <a:noFill/>
              <a:ln>
                <a:noFill/>
                <a:prstDash val="solid"/>
              </a:ln>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'⑥ Visualizations'!$B$17:$F$17</c:f>
              <c:strCache>
                <c:ptCount val="5"/>
                <c:pt idx="0">
                  <c:v>FY2020</c:v>
                </c:pt>
                <c:pt idx="1">
                  <c:v>FY2021</c:v>
                </c:pt>
                <c:pt idx="2">
                  <c:v>FY2022</c:v>
                </c:pt>
                <c:pt idx="3">
                  <c:v>FY2023</c:v>
                </c:pt>
                <c:pt idx="4">
                  <c:v>FY2024</c:v>
                </c:pt>
              </c:strCache>
            </c:strRef>
          </c:cat>
          <c:val>
            <c:numRef>
              <c:f>'⑥ Visualizations'!$B$18</c:f>
              <c:numCache>
                <c:formatCode>General</c:formatCode>
                <c:ptCount val="1"/>
                <c:pt idx="0">
                  <c:v>800</c:v>
                </c:pt>
              </c:numCache>
            </c:numRef>
          </c:val>
          <c:extLst>
            <c:ext xmlns:c16="http://schemas.microsoft.com/office/drawing/2014/chart" uri="{C3380CC4-5D6E-409C-BE32-E72D297353CC}">
              <c16:uniqueId val="{00000000-2B35-4150-861E-A236D389C858}"/>
            </c:ext>
          </c:extLst>
        </c:ser>
        <c:ser>
          <c:idx val="1"/>
          <c:order val="1"/>
          <c:tx>
            <c:v>FCF</c:v>
          </c:tx>
          <c:spPr>
            <a:solidFill>
              <a:srgbClr val="E65100"/>
            </a:solidFill>
            <a:ln w="0">
              <a:noFill/>
              <a:prstDash val="solid"/>
            </a:ln>
          </c:spPr>
          <c:invertIfNegative val="0"/>
          <c:dLbls>
            <c:spPr>
              <a:noFill/>
              <a:ln>
                <a:noFill/>
                <a:prstDash val="solid"/>
              </a:ln>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'⑥ Visualizations'!$B$17:$F$17</c:f>
              <c:strCache>
                <c:ptCount val="5"/>
                <c:pt idx="0">
                  <c:v>FY2020</c:v>
                </c:pt>
                <c:pt idx="1">
                  <c:v>FY2021</c:v>
                </c:pt>
                <c:pt idx="2">
                  <c:v>FY2022</c:v>
                </c:pt>
                <c:pt idx="3">
                  <c:v>FY2023</c:v>
                </c:pt>
                <c:pt idx="4">
                  <c:v>FY2024</c:v>
                </c:pt>
              </c:strCache>
            </c:strRef>
          </c:cat>
          <c:val>
            <c:numRef>
              <c:f>'⑥ Visualizations'!$C$18</c:f>
              <c:numCache>
                <c:formatCode>General</c:formatCode>
                <c:ptCount val="1"/>
                <c:pt idx="0">
                  <c:v>-210</c:v>
                </c:pt>
              </c:numCache>
            </c:numRef>
          </c:val>
          <c:extLst>
            <c:ext xmlns:c16="http://schemas.microsoft.com/office/drawing/2014/chart" uri="{C3380CC4-5D6E-409C-BE32-E72D297353CC}">
              <c16:uniqueId val="{00000001-2B35-4150-861E-A236D389C858}"/>
            </c:ext>
          </c:extLst>
        </c:ser>
        <c:ser>
          <c:idx val="2"/>
          <c:order val="2"/>
          <c:spPr>
            <a:solidFill>
              <a:srgbClr val="8AA64F"/>
            </a:solidFill>
            <a:ln w="0">
              <a:noFill/>
              <a:prstDash val="solid"/>
            </a:ln>
          </c:spPr>
          <c:invertIfNegative val="0"/>
          <c:dLbls>
            <c:spPr>
              <a:noFill/>
              <a:ln>
                <a:noFill/>
                <a:prstDash val="solid"/>
              </a:ln>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'⑥ Visualizations'!$B$17:$F$17</c:f>
              <c:strCache>
                <c:ptCount val="5"/>
                <c:pt idx="0">
                  <c:v>FY2020</c:v>
                </c:pt>
                <c:pt idx="1">
                  <c:v>FY2021</c:v>
                </c:pt>
                <c:pt idx="2">
                  <c:v>FY2022</c:v>
                </c:pt>
                <c:pt idx="3">
                  <c:v>FY2023</c:v>
                </c:pt>
                <c:pt idx="4">
                  <c:v>FY2024</c:v>
                </c:pt>
              </c:strCache>
            </c:strRef>
          </c:cat>
          <c:val>
            <c:numRef>
              <c:f>'⑥ Visualizations'!$D$18</c:f>
              <c:numCache>
                <c:formatCode>General</c:formatCode>
                <c:ptCount val="1"/>
                <c:pt idx="0">
                  <c:v>680</c:v>
                </c:pt>
              </c:numCache>
            </c:numRef>
          </c:val>
          <c:extLst>
            <c:ext xmlns:c16="http://schemas.microsoft.com/office/drawing/2014/chart" uri="{C3380CC4-5D6E-409C-BE32-E72D297353CC}">
              <c16:uniqueId val="{00000002-2B35-4150-861E-A236D389C858}"/>
            </c:ext>
          </c:extLst>
        </c:ser>
        <c:ser>
          <c:idx val="3"/>
          <c:order val="3"/>
          <c:spPr>
            <a:solidFill>
              <a:srgbClr val="725990"/>
            </a:solidFill>
            <a:ln w="0">
              <a:noFill/>
              <a:prstDash val="solid"/>
            </a:ln>
          </c:spPr>
          <c:invertIfNegative val="0"/>
          <c:dLbls>
            <c:spPr>
              <a:noFill/>
              <a:ln>
                <a:noFill/>
                <a:prstDash val="solid"/>
              </a:ln>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'⑥ Visualizations'!$B$17:$F$17</c:f>
              <c:strCache>
                <c:ptCount val="5"/>
                <c:pt idx="0">
                  <c:v>FY2020</c:v>
                </c:pt>
                <c:pt idx="1">
                  <c:v>FY2021</c:v>
                </c:pt>
                <c:pt idx="2">
                  <c:v>FY2022</c:v>
                </c:pt>
                <c:pt idx="3">
                  <c:v>FY2023</c:v>
                </c:pt>
                <c:pt idx="4">
                  <c:v>FY2024</c:v>
                </c:pt>
              </c:strCache>
            </c:strRef>
          </c:cat>
          <c:val>
            <c:numRef>
              <c:f>'⑥ Visualizations'!$E$18</c:f>
              <c:numCache>
                <c:formatCode>General</c:formatCode>
                <c:ptCount val="1"/>
                <c:pt idx="0">
                  <c:v>950</c:v>
                </c:pt>
              </c:numCache>
            </c:numRef>
          </c:val>
          <c:extLst>
            <c:ext xmlns:c16="http://schemas.microsoft.com/office/drawing/2014/chart" uri="{C3380CC4-5D6E-409C-BE32-E72D297353CC}">
              <c16:uniqueId val="{00000003-2B35-4150-861E-A236D389C858}"/>
            </c:ext>
          </c:extLst>
        </c:ser>
        <c:ser>
          <c:idx val="4"/>
          <c:order val="4"/>
          <c:spPr>
            <a:solidFill>
              <a:srgbClr val="4299B0"/>
            </a:solidFill>
            <a:ln w="0">
              <a:noFill/>
              <a:prstDash val="solid"/>
            </a:ln>
          </c:spPr>
          <c:invertIfNegative val="0"/>
          <c:dLbls>
            <c:spPr>
              <a:noFill/>
              <a:ln>
                <a:noFill/>
                <a:prstDash val="solid"/>
              </a:ln>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'⑥ Visualizations'!$B$17:$F$17</c:f>
              <c:strCache>
                <c:ptCount val="5"/>
                <c:pt idx="0">
                  <c:v>FY2020</c:v>
                </c:pt>
                <c:pt idx="1">
                  <c:v>FY2021</c:v>
                </c:pt>
                <c:pt idx="2">
                  <c:v>FY2022</c:v>
                </c:pt>
                <c:pt idx="3">
                  <c:v>FY2023</c:v>
                </c:pt>
                <c:pt idx="4">
                  <c:v>FY2024</c:v>
                </c:pt>
              </c:strCache>
            </c:strRef>
          </c:cat>
          <c:val>
            <c:numRef>
              <c:f>'⑥ Visualizations'!$F$18</c:f>
              <c:numCache>
                <c:formatCode>General</c:formatCode>
                <c:ptCount val="1"/>
                <c:pt idx="0">
                  <c:v>1180</c:v>
                </c:pt>
              </c:numCache>
            </c:numRef>
          </c:val>
          <c:extLst>
            <c:ext xmlns:c16="http://schemas.microsoft.com/office/drawing/2014/chart" uri="{C3380CC4-5D6E-409C-BE32-E72D297353CC}">
              <c16:uniqueId val="{00000004-2B35-4150-861E-A236D389C858}"/>
            </c:ext>
          </c:extLst>
        </c:ser>
        <c:ser>
          <c:idx val="5"/>
          <c:order val="5"/>
          <c:spPr>
            <a:solidFill>
              <a:srgbClr val="DC853E"/>
            </a:solidFill>
            <a:ln w="0">
              <a:noFill/>
              <a:prstDash val="solid"/>
            </a:ln>
          </c:spPr>
          <c:invertIfNegative val="0"/>
          <c:dLbls>
            <c:spPr>
              <a:noFill/>
              <a:ln>
                <a:noFill/>
                <a:prstDash val="solid"/>
              </a:ln>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'⑥ Visualizations'!$B$17:$F$17</c:f>
              <c:strCache>
                <c:ptCount val="5"/>
                <c:pt idx="0">
                  <c:v>FY2020</c:v>
                </c:pt>
                <c:pt idx="1">
                  <c:v>FY2021</c:v>
                </c:pt>
                <c:pt idx="2">
                  <c:v>FY2022</c:v>
                </c:pt>
                <c:pt idx="3">
                  <c:v>FY2023</c:v>
                </c:pt>
                <c:pt idx="4">
                  <c:v>FY2024</c:v>
                </c:pt>
              </c:strCache>
            </c:strRef>
          </c:cat>
          <c:val>
            <c:numRef>
              <c:f>'⑥ Visualizations'!$B$19</c:f>
              <c:numCache>
                <c:formatCode>General</c:formatCode>
                <c:ptCount val="1"/>
                <c:pt idx="0">
                  <c:v>-90</c:v>
                </c:pt>
              </c:numCache>
            </c:numRef>
          </c:val>
          <c:extLst>
            <c:ext xmlns:c16="http://schemas.microsoft.com/office/drawing/2014/chart" uri="{C3380CC4-5D6E-409C-BE32-E72D297353CC}">
              <c16:uniqueId val="{00000005-2B35-4150-861E-A236D389C858}"/>
            </c:ext>
          </c:extLst>
        </c:ser>
        <c:ser>
          <c:idx val="6"/>
          <c:order val="6"/>
          <c:spPr>
            <a:solidFill>
              <a:srgbClr val="93A9CE"/>
            </a:solidFill>
            <a:ln w="0">
              <a:noFill/>
              <a:prstDash val="solid"/>
            </a:ln>
          </c:spPr>
          <c:invertIfNegative val="0"/>
          <c:dLbls>
            <c:spPr>
              <a:noFill/>
              <a:ln>
                <a:noFill/>
                <a:prstDash val="solid"/>
              </a:ln>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'⑥ Visualizations'!$B$17:$F$17</c:f>
              <c:strCache>
                <c:ptCount val="5"/>
                <c:pt idx="0">
                  <c:v>FY2020</c:v>
                </c:pt>
                <c:pt idx="1">
                  <c:v>FY2021</c:v>
                </c:pt>
                <c:pt idx="2">
                  <c:v>FY2022</c:v>
                </c:pt>
                <c:pt idx="3">
                  <c:v>FY2023</c:v>
                </c:pt>
                <c:pt idx="4">
                  <c:v>FY2024</c:v>
                </c:pt>
              </c:strCache>
            </c:strRef>
          </c:cat>
          <c:val>
            <c:numRef>
              <c:f>'⑥ Visualizations'!$C$19</c:f>
              <c:numCache>
                <c:formatCode>General</c:formatCode>
                <c:ptCount val="1"/>
                <c:pt idx="0">
                  <c:v>-630</c:v>
                </c:pt>
              </c:numCache>
            </c:numRef>
          </c:val>
          <c:extLst>
            <c:ext xmlns:c16="http://schemas.microsoft.com/office/drawing/2014/chart" uri="{C3380CC4-5D6E-409C-BE32-E72D297353CC}">
              <c16:uniqueId val="{00000006-2B35-4150-861E-A236D389C858}"/>
            </c:ext>
          </c:extLst>
        </c:ser>
        <c:ser>
          <c:idx val="7"/>
          <c:order val="7"/>
          <c:spPr>
            <a:solidFill>
              <a:srgbClr val="D09493"/>
            </a:solidFill>
            <a:ln w="0">
              <a:noFill/>
              <a:prstDash val="solid"/>
            </a:ln>
          </c:spPr>
          <c:invertIfNegative val="0"/>
          <c:dLbls>
            <c:spPr>
              <a:noFill/>
              <a:ln>
                <a:noFill/>
                <a:prstDash val="solid"/>
              </a:ln>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'⑥ Visualizations'!$B$17:$F$17</c:f>
              <c:strCache>
                <c:ptCount val="5"/>
                <c:pt idx="0">
                  <c:v>FY2020</c:v>
                </c:pt>
                <c:pt idx="1">
                  <c:v>FY2021</c:v>
                </c:pt>
                <c:pt idx="2">
                  <c:v>FY2022</c:v>
                </c:pt>
                <c:pt idx="3">
                  <c:v>FY2023</c:v>
                </c:pt>
                <c:pt idx="4">
                  <c:v>FY2024</c:v>
                </c:pt>
              </c:strCache>
            </c:strRef>
          </c:cat>
          <c:val>
            <c:numRef>
              <c:f>'⑥ Visualizations'!$D$19</c:f>
              <c:numCache>
                <c:formatCode>General</c:formatCode>
                <c:ptCount val="1"/>
                <c:pt idx="0">
                  <c:v>0</c:v>
                </c:pt>
              </c:numCache>
            </c:numRef>
          </c:val>
          <c:extLst>
            <c:ext xmlns:c16="http://schemas.microsoft.com/office/drawing/2014/chart" uri="{C3380CC4-5D6E-409C-BE32-E72D297353CC}">
              <c16:uniqueId val="{00000007-2B35-4150-861E-A236D389C858}"/>
            </c:ext>
          </c:extLst>
        </c:ser>
        <c:ser>
          <c:idx val="8"/>
          <c:order val="8"/>
          <c:spPr>
            <a:solidFill>
              <a:srgbClr val="B8CD97"/>
            </a:solidFill>
            <a:ln w="0">
              <a:noFill/>
              <a:prstDash val="solid"/>
            </a:ln>
          </c:spPr>
          <c:invertIfNegative val="0"/>
          <c:dLbls>
            <c:spPr>
              <a:noFill/>
              <a:ln>
                <a:noFill/>
                <a:prstDash val="solid"/>
              </a:ln>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'⑥ Visualizations'!$B$17:$F$17</c:f>
              <c:strCache>
                <c:ptCount val="5"/>
                <c:pt idx="0">
                  <c:v>FY2020</c:v>
                </c:pt>
                <c:pt idx="1">
                  <c:v>FY2021</c:v>
                </c:pt>
                <c:pt idx="2">
                  <c:v>FY2022</c:v>
                </c:pt>
                <c:pt idx="3">
                  <c:v>FY2023</c:v>
                </c:pt>
                <c:pt idx="4">
                  <c:v>FY2024</c:v>
                </c:pt>
              </c:strCache>
            </c:strRef>
          </c:cat>
          <c:val>
            <c:numRef>
              <c:f>'⑥ Visualizations'!$E$19</c:f>
              <c:numCache>
                <c:formatCode>General</c:formatCode>
                <c:ptCount val="1"/>
                <c:pt idx="0">
                  <c:v>-150</c:v>
                </c:pt>
              </c:numCache>
            </c:numRef>
          </c:val>
          <c:extLst>
            <c:ext xmlns:c16="http://schemas.microsoft.com/office/drawing/2014/chart" uri="{C3380CC4-5D6E-409C-BE32-E72D297353CC}">
              <c16:uniqueId val="{00000008-2B35-4150-861E-A236D389C858}"/>
            </c:ext>
          </c:extLst>
        </c:ser>
        <c:ser>
          <c:idx val="9"/>
          <c:order val="9"/>
          <c:spPr>
            <a:solidFill>
              <a:srgbClr val="A99BBD"/>
            </a:solidFill>
            <a:ln w="0">
              <a:noFill/>
              <a:prstDash val="solid"/>
            </a:ln>
          </c:spPr>
          <c:invertIfNegative val="0"/>
          <c:dLbls>
            <c:spPr>
              <a:noFill/>
              <a:ln>
                <a:noFill/>
                <a:prstDash val="solid"/>
              </a:ln>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'⑥ Visualizations'!$B$17:$F$17</c:f>
              <c:strCache>
                <c:ptCount val="5"/>
                <c:pt idx="0">
                  <c:v>FY2020</c:v>
                </c:pt>
                <c:pt idx="1">
                  <c:v>FY2021</c:v>
                </c:pt>
                <c:pt idx="2">
                  <c:v>FY2022</c:v>
                </c:pt>
                <c:pt idx="3">
                  <c:v>FY2023</c:v>
                </c:pt>
                <c:pt idx="4">
                  <c:v>FY2024</c:v>
                </c:pt>
              </c:strCache>
            </c:strRef>
          </c:cat>
          <c:val>
            <c:numRef>
              <c:f>'⑥ Visualizations'!$F$19</c:f>
              <c:numCache>
                <c:formatCode>General</c:formatCode>
                <c:ptCount val="1"/>
                <c:pt idx="0">
                  <c:v>-170</c:v>
                </c:pt>
              </c:numCache>
            </c:numRef>
          </c:val>
          <c:extLst>
            <c:ext xmlns:c16="http://schemas.microsoft.com/office/drawing/2014/chart" uri="{C3380CC4-5D6E-409C-BE32-E72D297353CC}">
              <c16:uniqueId val="{00000009-2B35-4150-861E-A236D389C858}"/>
            </c:ext>
          </c:extLst>
        </c:ser>
        <c:dLbls>
          <c:showLegendKey val="0"/>
          <c:showVal val="0"/>
          <c:showCatName val="0"/>
          <c:showSerName val="0"/>
          <c:showPercent val="0"/>
          <c:showBubbleSize val="0"/>
        </c:dLbls>
        <c:gapWidth val="150"/>
        <c:axId val="7378762"/>
        <c:axId val="41705322"/>
      </c:barChart>
      <c:catAx>
        <c:axId val="7378762"/>
        <c:scaling>
          <c:orientation val="minMax"/>
        </c:scaling>
        <c:delete val="1"/>
        <c:axPos val="b"/>
        <c:title>
          <c:tx>
            <c:rich>
              <a:bodyPr rot="0"/>
              <a:lstStyle/>
              <a:p>
                <a:pPr>
                  <a:defRPr lang="en-US" sz="1000" b="1" strike="noStrike" spc="-1">
                    <a:solidFill>
                      <a:srgbClr val="000000"/>
                    </a:solidFill>
                    <a:latin typeface="Calibri"/>
                  </a:defRPr>
                </a:pPr>
                <a:r>
                  <a:rPr lang="en-US" sz="1000" b="1" strike="noStrike" spc="-1">
                    <a:solidFill>
                      <a:srgbClr val="000000"/>
                    </a:solidFill>
                    <a:latin typeface="Calibri"/>
                  </a:rPr>
                  <a:t>Fiscal Year</a:t>
                </a:r>
              </a:p>
            </c:rich>
          </c:tx>
          <c:overlay val="0"/>
          <c:spPr>
            <a:noFill/>
            <a:ln w="0">
              <a:noFill/>
              <a:prstDash val="solid"/>
            </a:ln>
          </c:spPr>
        </c:title>
        <c:numFmt formatCode="General" sourceLinked="1"/>
        <c:majorTickMark val="none"/>
        <c:minorTickMark val="none"/>
        <c:tickLblPos val="nextTo"/>
        <c:crossAx val="41705322"/>
        <c:crosses val="autoZero"/>
        <c:auto val="1"/>
        <c:lblAlgn val="ctr"/>
        <c:lblOffset val="100"/>
        <c:noMultiLvlLbl val="0"/>
      </c:catAx>
      <c:valAx>
        <c:axId val="41705322"/>
        <c:scaling>
          <c:orientation val="minMax"/>
        </c:scaling>
        <c:delete val="1"/>
        <c:axPos val="l"/>
        <c:majorGridlines>
          <c:spPr>
            <a:ln w="9360">
              <a:solidFill>
                <a:srgbClr val="878787"/>
              </a:solidFill>
              <a:prstDash val="solid"/>
              <a:round/>
            </a:ln>
          </c:spPr>
        </c:majorGridlines>
        <c:title>
          <c:tx>
            <c:rich>
              <a:bodyPr rot="-5400000"/>
              <a:lstStyle/>
              <a:p>
                <a:pPr>
                  <a:defRPr lang="en-US" sz="1000" b="1" strike="noStrike" spc="-1">
                    <a:solidFill>
                      <a:srgbClr val="000000"/>
                    </a:solidFill>
                    <a:latin typeface="Calibri"/>
                  </a:defRPr>
                </a:pPr>
                <a:r>
                  <a:rPr lang="en-US" sz="1000" b="1" strike="noStrike" spc="-1">
                    <a:solidFill>
                      <a:srgbClr val="000000"/>
                    </a:solidFill>
                    <a:latin typeface="Calibri"/>
                  </a:rPr>
                  <a:t>INR Crores</a:t>
                </a:r>
              </a:p>
            </c:rich>
          </c:tx>
          <c:overlay val="0"/>
          <c:spPr>
            <a:noFill/>
            <a:ln w="0">
              <a:noFill/>
              <a:prstDash val="solid"/>
            </a:ln>
          </c:spPr>
        </c:title>
        <c:numFmt formatCode="General" sourceLinked="1"/>
        <c:majorTickMark val="none"/>
        <c:minorTickMark val="none"/>
        <c:tickLblPos val="nextTo"/>
        <c:crossAx val="7378762"/>
        <c:crosses val="autoZero"/>
        <c:crossBetween val="between"/>
      </c:valAx>
    </c:plotArea>
    <c:legend>
      <c:legendPos val="r"/>
      <c:overlay val="1"/>
      <c:spPr>
        <a:noFill/>
        <a:ln w="0">
          <a:noFill/>
          <a:prstDash val="solid"/>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a:lstStyle/>
          <a:p>
            <a:pPr>
              <a:defRPr lang="en-US" sz="1800" b="1" strike="noStrike" spc="-1">
                <a:solidFill>
                  <a:srgbClr val="000000"/>
                </a:solidFill>
                <a:latin typeface="Calibri"/>
              </a:defRPr>
            </a:pPr>
            <a:r>
              <a:rPr lang="en-US" sz="1800" b="1" strike="noStrike" spc="-1">
                <a:solidFill>
                  <a:srgbClr val="000000"/>
                </a:solidFill>
                <a:latin typeface="Calibri"/>
              </a:rPr>
              <a:t>DAM Capital — Revenue vs Net Income (₹ Cr)</a:t>
            </a:r>
          </a:p>
        </c:rich>
      </c:tx>
      <c:overlay val="0"/>
      <c:spPr>
        <a:noFill/>
        <a:ln w="0">
          <a:noFill/>
          <a:prstDash val="solid"/>
        </a:ln>
      </c:spPr>
    </c:title>
    <c:autoTitleDeleted val="0"/>
    <c:plotArea>
      <c:layout/>
      <c:barChart>
        <c:barDir val="col"/>
        <c:grouping val="clustered"/>
        <c:varyColors val="0"/>
        <c:ser>
          <c:idx val="0"/>
          <c:order val="0"/>
          <c:tx>
            <c:v>Revenue</c:v>
          </c:tx>
          <c:spPr>
            <a:solidFill>
              <a:srgbClr val="1565C0"/>
            </a:solidFill>
            <a:ln w="0">
              <a:noFill/>
              <a:prstDash val="solid"/>
            </a:ln>
          </c:spPr>
          <c:invertIfNegative val="0"/>
          <c:dLbls>
            <c:spPr>
              <a:noFill/>
              <a:ln>
                <a:noFill/>
                <a:prstDash val="solid"/>
              </a:ln>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'⑥ Visualizations'!$B$22:$F$22</c:f>
              <c:strCache>
                <c:ptCount val="5"/>
                <c:pt idx="0">
                  <c:v>FY2020</c:v>
                </c:pt>
                <c:pt idx="1">
                  <c:v>FY2021</c:v>
                </c:pt>
                <c:pt idx="2">
                  <c:v>FY2022</c:v>
                </c:pt>
                <c:pt idx="3">
                  <c:v>FY2023</c:v>
                </c:pt>
                <c:pt idx="4">
                  <c:v>FY2024</c:v>
                </c:pt>
              </c:strCache>
            </c:strRef>
          </c:cat>
          <c:val>
            <c:numRef>
              <c:f>'⑥ Visualizations'!$B$23</c:f>
              <c:numCache>
                <c:formatCode>General</c:formatCode>
                <c:ptCount val="1"/>
                <c:pt idx="0">
                  <c:v>78.5</c:v>
                </c:pt>
              </c:numCache>
            </c:numRef>
          </c:val>
          <c:extLst>
            <c:ext xmlns:c16="http://schemas.microsoft.com/office/drawing/2014/chart" uri="{C3380CC4-5D6E-409C-BE32-E72D297353CC}">
              <c16:uniqueId val="{00000000-30C0-43A1-994B-E6E6A508ECDC}"/>
            </c:ext>
          </c:extLst>
        </c:ser>
        <c:ser>
          <c:idx val="1"/>
          <c:order val="1"/>
          <c:tx>
            <c:v>Net Income</c:v>
          </c:tx>
          <c:spPr>
            <a:solidFill>
              <a:srgbClr val="E65100"/>
            </a:solidFill>
            <a:ln w="0">
              <a:noFill/>
              <a:prstDash val="solid"/>
            </a:ln>
          </c:spPr>
          <c:invertIfNegative val="0"/>
          <c:dLbls>
            <c:spPr>
              <a:noFill/>
              <a:ln>
                <a:noFill/>
                <a:prstDash val="solid"/>
              </a:ln>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'⑥ Visualizations'!$B$22:$F$22</c:f>
              <c:strCache>
                <c:ptCount val="5"/>
                <c:pt idx="0">
                  <c:v>FY2020</c:v>
                </c:pt>
                <c:pt idx="1">
                  <c:v>FY2021</c:v>
                </c:pt>
                <c:pt idx="2">
                  <c:v>FY2022</c:v>
                </c:pt>
                <c:pt idx="3">
                  <c:v>FY2023</c:v>
                </c:pt>
                <c:pt idx="4">
                  <c:v>FY2024</c:v>
                </c:pt>
              </c:strCache>
            </c:strRef>
          </c:cat>
          <c:val>
            <c:numRef>
              <c:f>'⑥ Visualizations'!$C$23</c:f>
              <c:numCache>
                <c:formatCode>General</c:formatCode>
                <c:ptCount val="1"/>
                <c:pt idx="0">
                  <c:v>62.1</c:v>
                </c:pt>
              </c:numCache>
            </c:numRef>
          </c:val>
          <c:extLst>
            <c:ext xmlns:c16="http://schemas.microsoft.com/office/drawing/2014/chart" uri="{C3380CC4-5D6E-409C-BE32-E72D297353CC}">
              <c16:uniqueId val="{00000001-30C0-43A1-994B-E6E6A508ECDC}"/>
            </c:ext>
          </c:extLst>
        </c:ser>
        <c:ser>
          <c:idx val="2"/>
          <c:order val="2"/>
          <c:spPr>
            <a:solidFill>
              <a:srgbClr val="8AA64F"/>
            </a:solidFill>
            <a:ln w="0">
              <a:noFill/>
              <a:prstDash val="solid"/>
            </a:ln>
          </c:spPr>
          <c:invertIfNegative val="0"/>
          <c:dLbls>
            <c:spPr>
              <a:noFill/>
              <a:ln>
                <a:noFill/>
                <a:prstDash val="solid"/>
              </a:ln>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'⑥ Visualizations'!$B$22:$F$22</c:f>
              <c:strCache>
                <c:ptCount val="5"/>
                <c:pt idx="0">
                  <c:v>FY2020</c:v>
                </c:pt>
                <c:pt idx="1">
                  <c:v>FY2021</c:v>
                </c:pt>
                <c:pt idx="2">
                  <c:v>FY2022</c:v>
                </c:pt>
                <c:pt idx="3">
                  <c:v>FY2023</c:v>
                </c:pt>
                <c:pt idx="4">
                  <c:v>FY2024</c:v>
                </c:pt>
              </c:strCache>
            </c:strRef>
          </c:cat>
          <c:val>
            <c:numRef>
              <c:f>'⑥ Visualizations'!$D$23</c:f>
              <c:numCache>
                <c:formatCode>General</c:formatCode>
                <c:ptCount val="1"/>
                <c:pt idx="0">
                  <c:v>143.19999999999999</c:v>
                </c:pt>
              </c:numCache>
            </c:numRef>
          </c:val>
          <c:extLst>
            <c:ext xmlns:c16="http://schemas.microsoft.com/office/drawing/2014/chart" uri="{C3380CC4-5D6E-409C-BE32-E72D297353CC}">
              <c16:uniqueId val="{00000002-30C0-43A1-994B-E6E6A508ECDC}"/>
            </c:ext>
          </c:extLst>
        </c:ser>
        <c:ser>
          <c:idx val="3"/>
          <c:order val="3"/>
          <c:spPr>
            <a:solidFill>
              <a:srgbClr val="725990"/>
            </a:solidFill>
            <a:ln w="0">
              <a:noFill/>
              <a:prstDash val="solid"/>
            </a:ln>
          </c:spPr>
          <c:invertIfNegative val="0"/>
          <c:dLbls>
            <c:spPr>
              <a:noFill/>
              <a:ln>
                <a:noFill/>
                <a:prstDash val="solid"/>
              </a:ln>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'⑥ Visualizations'!$B$22:$F$22</c:f>
              <c:strCache>
                <c:ptCount val="5"/>
                <c:pt idx="0">
                  <c:v>FY2020</c:v>
                </c:pt>
                <c:pt idx="1">
                  <c:v>FY2021</c:v>
                </c:pt>
                <c:pt idx="2">
                  <c:v>FY2022</c:v>
                </c:pt>
                <c:pt idx="3">
                  <c:v>FY2023</c:v>
                </c:pt>
                <c:pt idx="4">
                  <c:v>FY2024</c:v>
                </c:pt>
              </c:strCache>
            </c:strRef>
          </c:cat>
          <c:val>
            <c:numRef>
              <c:f>'⑥ Visualizations'!$E$23</c:f>
              <c:numCache>
                <c:formatCode>General</c:formatCode>
                <c:ptCount val="1"/>
                <c:pt idx="0">
                  <c:v>207.4</c:v>
                </c:pt>
              </c:numCache>
            </c:numRef>
          </c:val>
          <c:extLst>
            <c:ext xmlns:c16="http://schemas.microsoft.com/office/drawing/2014/chart" uri="{C3380CC4-5D6E-409C-BE32-E72D297353CC}">
              <c16:uniqueId val="{00000003-30C0-43A1-994B-E6E6A508ECDC}"/>
            </c:ext>
          </c:extLst>
        </c:ser>
        <c:ser>
          <c:idx val="4"/>
          <c:order val="4"/>
          <c:spPr>
            <a:solidFill>
              <a:srgbClr val="4299B0"/>
            </a:solidFill>
            <a:ln w="0">
              <a:noFill/>
              <a:prstDash val="solid"/>
            </a:ln>
          </c:spPr>
          <c:invertIfNegative val="0"/>
          <c:dLbls>
            <c:spPr>
              <a:noFill/>
              <a:ln>
                <a:noFill/>
                <a:prstDash val="solid"/>
              </a:ln>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'⑥ Visualizations'!$B$22:$F$22</c:f>
              <c:strCache>
                <c:ptCount val="5"/>
                <c:pt idx="0">
                  <c:v>FY2020</c:v>
                </c:pt>
                <c:pt idx="1">
                  <c:v>FY2021</c:v>
                </c:pt>
                <c:pt idx="2">
                  <c:v>FY2022</c:v>
                </c:pt>
                <c:pt idx="3">
                  <c:v>FY2023</c:v>
                </c:pt>
                <c:pt idx="4">
                  <c:v>FY2024</c:v>
                </c:pt>
              </c:strCache>
            </c:strRef>
          </c:cat>
          <c:val>
            <c:numRef>
              <c:f>'⑥ Visualizations'!$F$23</c:f>
              <c:numCache>
                <c:formatCode>General</c:formatCode>
                <c:ptCount val="1"/>
                <c:pt idx="0">
                  <c:v>289.60000000000002</c:v>
                </c:pt>
              </c:numCache>
            </c:numRef>
          </c:val>
          <c:extLst>
            <c:ext xmlns:c16="http://schemas.microsoft.com/office/drawing/2014/chart" uri="{C3380CC4-5D6E-409C-BE32-E72D297353CC}">
              <c16:uniqueId val="{00000004-30C0-43A1-994B-E6E6A508ECDC}"/>
            </c:ext>
          </c:extLst>
        </c:ser>
        <c:ser>
          <c:idx val="5"/>
          <c:order val="5"/>
          <c:spPr>
            <a:solidFill>
              <a:srgbClr val="DC853E"/>
            </a:solidFill>
            <a:ln w="0">
              <a:noFill/>
              <a:prstDash val="solid"/>
            </a:ln>
          </c:spPr>
          <c:invertIfNegative val="0"/>
          <c:dLbls>
            <c:spPr>
              <a:noFill/>
              <a:ln>
                <a:noFill/>
                <a:prstDash val="solid"/>
              </a:ln>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'⑥ Visualizations'!$B$22:$F$22</c:f>
              <c:strCache>
                <c:ptCount val="5"/>
                <c:pt idx="0">
                  <c:v>FY2020</c:v>
                </c:pt>
                <c:pt idx="1">
                  <c:v>FY2021</c:v>
                </c:pt>
                <c:pt idx="2">
                  <c:v>FY2022</c:v>
                </c:pt>
                <c:pt idx="3">
                  <c:v>FY2023</c:v>
                </c:pt>
                <c:pt idx="4">
                  <c:v>FY2024</c:v>
                </c:pt>
              </c:strCache>
            </c:strRef>
          </c:cat>
          <c:val>
            <c:numRef>
              <c:f>'⑥ Visualizations'!$B$24</c:f>
              <c:numCache>
                <c:formatCode>General</c:formatCode>
                <c:ptCount val="1"/>
                <c:pt idx="0">
                  <c:v>15.5</c:v>
                </c:pt>
              </c:numCache>
            </c:numRef>
          </c:val>
          <c:extLst>
            <c:ext xmlns:c16="http://schemas.microsoft.com/office/drawing/2014/chart" uri="{C3380CC4-5D6E-409C-BE32-E72D297353CC}">
              <c16:uniqueId val="{00000005-30C0-43A1-994B-E6E6A508ECDC}"/>
            </c:ext>
          </c:extLst>
        </c:ser>
        <c:ser>
          <c:idx val="6"/>
          <c:order val="6"/>
          <c:spPr>
            <a:solidFill>
              <a:srgbClr val="93A9CE"/>
            </a:solidFill>
            <a:ln w="0">
              <a:noFill/>
              <a:prstDash val="solid"/>
            </a:ln>
          </c:spPr>
          <c:invertIfNegative val="0"/>
          <c:dLbls>
            <c:spPr>
              <a:noFill/>
              <a:ln>
                <a:noFill/>
                <a:prstDash val="solid"/>
              </a:ln>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'⑥ Visualizations'!$B$22:$F$22</c:f>
              <c:strCache>
                <c:ptCount val="5"/>
                <c:pt idx="0">
                  <c:v>FY2020</c:v>
                </c:pt>
                <c:pt idx="1">
                  <c:v>FY2021</c:v>
                </c:pt>
                <c:pt idx="2">
                  <c:v>FY2022</c:v>
                </c:pt>
                <c:pt idx="3">
                  <c:v>FY2023</c:v>
                </c:pt>
                <c:pt idx="4">
                  <c:v>FY2024</c:v>
                </c:pt>
              </c:strCache>
            </c:strRef>
          </c:cat>
          <c:val>
            <c:numRef>
              <c:f>'⑥ Visualizations'!$C$24</c:f>
              <c:numCache>
                <c:formatCode>General</c:formatCode>
                <c:ptCount val="1"/>
                <c:pt idx="0">
                  <c:v>9.4</c:v>
                </c:pt>
              </c:numCache>
            </c:numRef>
          </c:val>
          <c:extLst>
            <c:ext xmlns:c16="http://schemas.microsoft.com/office/drawing/2014/chart" uri="{C3380CC4-5D6E-409C-BE32-E72D297353CC}">
              <c16:uniqueId val="{00000006-30C0-43A1-994B-E6E6A508ECDC}"/>
            </c:ext>
          </c:extLst>
        </c:ser>
        <c:ser>
          <c:idx val="7"/>
          <c:order val="7"/>
          <c:spPr>
            <a:solidFill>
              <a:srgbClr val="D09493"/>
            </a:solidFill>
            <a:ln w="0">
              <a:noFill/>
              <a:prstDash val="solid"/>
            </a:ln>
          </c:spPr>
          <c:invertIfNegative val="0"/>
          <c:dLbls>
            <c:spPr>
              <a:noFill/>
              <a:ln>
                <a:noFill/>
                <a:prstDash val="solid"/>
              </a:ln>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'⑥ Visualizations'!$B$22:$F$22</c:f>
              <c:strCache>
                <c:ptCount val="5"/>
                <c:pt idx="0">
                  <c:v>FY2020</c:v>
                </c:pt>
                <c:pt idx="1">
                  <c:v>FY2021</c:v>
                </c:pt>
                <c:pt idx="2">
                  <c:v>FY2022</c:v>
                </c:pt>
                <c:pt idx="3">
                  <c:v>FY2023</c:v>
                </c:pt>
                <c:pt idx="4">
                  <c:v>FY2024</c:v>
                </c:pt>
              </c:strCache>
            </c:strRef>
          </c:cat>
          <c:val>
            <c:numRef>
              <c:f>'⑥ Visualizations'!$D$24</c:f>
              <c:numCache>
                <c:formatCode>General</c:formatCode>
                <c:ptCount val="1"/>
                <c:pt idx="0">
                  <c:v>61.1</c:v>
                </c:pt>
              </c:numCache>
            </c:numRef>
          </c:val>
          <c:extLst>
            <c:ext xmlns:c16="http://schemas.microsoft.com/office/drawing/2014/chart" uri="{C3380CC4-5D6E-409C-BE32-E72D297353CC}">
              <c16:uniqueId val="{00000007-30C0-43A1-994B-E6E6A508ECDC}"/>
            </c:ext>
          </c:extLst>
        </c:ser>
        <c:ser>
          <c:idx val="8"/>
          <c:order val="8"/>
          <c:spPr>
            <a:solidFill>
              <a:srgbClr val="B8CD97"/>
            </a:solidFill>
            <a:ln w="0">
              <a:noFill/>
              <a:prstDash val="solid"/>
            </a:ln>
          </c:spPr>
          <c:invertIfNegative val="0"/>
          <c:dLbls>
            <c:spPr>
              <a:noFill/>
              <a:ln>
                <a:noFill/>
                <a:prstDash val="solid"/>
              </a:ln>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'⑥ Visualizations'!$B$22:$F$22</c:f>
              <c:strCache>
                <c:ptCount val="5"/>
                <c:pt idx="0">
                  <c:v>FY2020</c:v>
                </c:pt>
                <c:pt idx="1">
                  <c:v>FY2021</c:v>
                </c:pt>
                <c:pt idx="2">
                  <c:v>FY2022</c:v>
                </c:pt>
                <c:pt idx="3">
                  <c:v>FY2023</c:v>
                </c:pt>
                <c:pt idx="4">
                  <c:v>FY2024</c:v>
                </c:pt>
              </c:strCache>
            </c:strRef>
          </c:cat>
          <c:val>
            <c:numRef>
              <c:f>'⑥ Visualizations'!$E$24</c:f>
              <c:numCache>
                <c:formatCode>General</c:formatCode>
                <c:ptCount val="1"/>
                <c:pt idx="0">
                  <c:v>90.5</c:v>
                </c:pt>
              </c:numCache>
            </c:numRef>
          </c:val>
          <c:extLst>
            <c:ext xmlns:c16="http://schemas.microsoft.com/office/drawing/2014/chart" uri="{C3380CC4-5D6E-409C-BE32-E72D297353CC}">
              <c16:uniqueId val="{00000008-30C0-43A1-994B-E6E6A508ECDC}"/>
            </c:ext>
          </c:extLst>
        </c:ser>
        <c:ser>
          <c:idx val="9"/>
          <c:order val="9"/>
          <c:spPr>
            <a:solidFill>
              <a:srgbClr val="A99BBD"/>
            </a:solidFill>
            <a:ln w="0">
              <a:noFill/>
              <a:prstDash val="solid"/>
            </a:ln>
          </c:spPr>
          <c:invertIfNegative val="0"/>
          <c:dLbls>
            <c:spPr>
              <a:noFill/>
              <a:ln>
                <a:noFill/>
                <a:prstDash val="solid"/>
              </a:ln>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'⑥ Visualizations'!$B$22:$F$22</c:f>
              <c:strCache>
                <c:ptCount val="5"/>
                <c:pt idx="0">
                  <c:v>FY2020</c:v>
                </c:pt>
                <c:pt idx="1">
                  <c:v>FY2021</c:v>
                </c:pt>
                <c:pt idx="2">
                  <c:v>FY2022</c:v>
                </c:pt>
                <c:pt idx="3">
                  <c:v>FY2023</c:v>
                </c:pt>
                <c:pt idx="4">
                  <c:v>FY2024</c:v>
                </c:pt>
              </c:strCache>
            </c:strRef>
          </c:cat>
          <c:val>
            <c:numRef>
              <c:f>'⑥ Visualizations'!$F$24</c:f>
              <c:numCache>
                <c:formatCode>General</c:formatCode>
                <c:ptCount val="1"/>
                <c:pt idx="0">
                  <c:v>129.1</c:v>
                </c:pt>
              </c:numCache>
            </c:numRef>
          </c:val>
          <c:extLst>
            <c:ext xmlns:c16="http://schemas.microsoft.com/office/drawing/2014/chart" uri="{C3380CC4-5D6E-409C-BE32-E72D297353CC}">
              <c16:uniqueId val="{00000009-30C0-43A1-994B-E6E6A508ECDC}"/>
            </c:ext>
          </c:extLst>
        </c:ser>
        <c:dLbls>
          <c:showLegendKey val="0"/>
          <c:showVal val="0"/>
          <c:showCatName val="0"/>
          <c:showSerName val="0"/>
          <c:showPercent val="0"/>
          <c:showBubbleSize val="0"/>
        </c:dLbls>
        <c:gapWidth val="150"/>
        <c:axId val="89961894"/>
        <c:axId val="87071379"/>
      </c:barChart>
      <c:catAx>
        <c:axId val="89961894"/>
        <c:scaling>
          <c:orientation val="minMax"/>
        </c:scaling>
        <c:delete val="1"/>
        <c:axPos val="b"/>
        <c:title>
          <c:tx>
            <c:rich>
              <a:bodyPr rot="0"/>
              <a:lstStyle/>
              <a:p>
                <a:pPr>
                  <a:defRPr lang="en-US" sz="1000" b="1" strike="noStrike" spc="-1">
                    <a:solidFill>
                      <a:srgbClr val="000000"/>
                    </a:solidFill>
                    <a:latin typeface="Calibri"/>
                  </a:defRPr>
                </a:pPr>
                <a:r>
                  <a:rPr lang="en-US" sz="1000" b="1" strike="noStrike" spc="-1">
                    <a:solidFill>
                      <a:srgbClr val="000000"/>
                    </a:solidFill>
                    <a:latin typeface="Calibri"/>
                  </a:rPr>
                  <a:t>Fiscal Year</a:t>
                </a:r>
              </a:p>
            </c:rich>
          </c:tx>
          <c:overlay val="0"/>
          <c:spPr>
            <a:noFill/>
            <a:ln w="0">
              <a:noFill/>
              <a:prstDash val="solid"/>
            </a:ln>
          </c:spPr>
        </c:title>
        <c:numFmt formatCode="General" sourceLinked="1"/>
        <c:majorTickMark val="none"/>
        <c:minorTickMark val="none"/>
        <c:tickLblPos val="nextTo"/>
        <c:crossAx val="87071379"/>
        <c:crosses val="autoZero"/>
        <c:auto val="1"/>
        <c:lblAlgn val="ctr"/>
        <c:lblOffset val="100"/>
        <c:noMultiLvlLbl val="0"/>
      </c:catAx>
      <c:valAx>
        <c:axId val="87071379"/>
        <c:scaling>
          <c:orientation val="minMax"/>
        </c:scaling>
        <c:delete val="1"/>
        <c:axPos val="l"/>
        <c:majorGridlines>
          <c:spPr>
            <a:ln w="9360">
              <a:solidFill>
                <a:srgbClr val="878787"/>
              </a:solidFill>
              <a:prstDash val="solid"/>
              <a:round/>
            </a:ln>
          </c:spPr>
        </c:majorGridlines>
        <c:title>
          <c:tx>
            <c:rich>
              <a:bodyPr rot="-5400000"/>
              <a:lstStyle/>
              <a:p>
                <a:pPr>
                  <a:defRPr lang="en-US" sz="1000" b="1" strike="noStrike" spc="-1">
                    <a:solidFill>
                      <a:srgbClr val="000000"/>
                    </a:solidFill>
                    <a:latin typeface="Calibri"/>
                  </a:defRPr>
                </a:pPr>
                <a:r>
                  <a:rPr lang="en-US" sz="1000" b="1" strike="noStrike" spc="-1">
                    <a:solidFill>
                      <a:srgbClr val="000000"/>
                    </a:solidFill>
                    <a:latin typeface="Calibri"/>
                  </a:rPr>
                  <a:t>INR Crores</a:t>
                </a:r>
              </a:p>
            </c:rich>
          </c:tx>
          <c:overlay val="0"/>
          <c:spPr>
            <a:noFill/>
            <a:ln w="0">
              <a:noFill/>
              <a:prstDash val="solid"/>
            </a:ln>
          </c:spPr>
        </c:title>
        <c:numFmt formatCode="General" sourceLinked="1"/>
        <c:majorTickMark val="none"/>
        <c:minorTickMark val="none"/>
        <c:tickLblPos val="nextTo"/>
        <c:crossAx val="89961894"/>
        <c:crosses val="autoZero"/>
        <c:crossBetween val="between"/>
      </c:valAx>
    </c:plotArea>
    <c:legend>
      <c:legendPos val="r"/>
      <c:overlay val="1"/>
      <c:spPr>
        <a:noFill/>
        <a:ln w="0">
          <a:noFill/>
          <a:prstDash val="solid"/>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a:lstStyle/>
          <a:p>
            <a:pPr>
              <a:defRPr lang="en-US" sz="1800" b="1" strike="noStrike" spc="-1">
                <a:solidFill>
                  <a:srgbClr val="000000"/>
                </a:solidFill>
                <a:latin typeface="Calibri"/>
              </a:defRPr>
            </a:pPr>
            <a:r>
              <a:rPr lang="en-US" sz="1800" b="1" strike="noStrike" spc="-1">
                <a:solidFill>
                  <a:srgbClr val="000000"/>
                </a:solidFill>
                <a:latin typeface="Calibri"/>
              </a:rPr>
              <a:t>DAM Capital — Margins (%)</a:t>
            </a:r>
          </a:p>
        </c:rich>
      </c:tx>
      <c:overlay val="0"/>
      <c:spPr>
        <a:noFill/>
        <a:ln w="0">
          <a:noFill/>
          <a:prstDash val="solid"/>
        </a:ln>
      </c:spPr>
    </c:title>
    <c:autoTitleDeleted val="0"/>
    <c:plotArea>
      <c:layout/>
      <c:lineChart>
        <c:grouping val="standard"/>
        <c:varyColors val="0"/>
        <c:ser>
          <c:idx val="0"/>
          <c:order val="0"/>
          <c:tx>
            <c:v>EBITDA%</c:v>
          </c:tx>
          <c:spPr>
            <a:ln w="21960">
              <a:solidFill>
                <a:srgbClr val="1565C0"/>
              </a:solidFill>
              <a:prstDash val="solid"/>
              <a:round/>
            </a:ln>
          </c:spPr>
          <c:marker>
            <c:symbol val="circle"/>
            <c:size val="5"/>
            <c:spPr>
              <a:solidFill>
                <a:srgbClr val="1565C0"/>
              </a:solidFill>
              <a:ln>
                <a:prstDash val="solid"/>
              </a:ln>
            </c:spPr>
          </c:marker>
          <c:dLbls>
            <c:spPr>
              <a:noFill/>
              <a:ln>
                <a:noFill/>
                <a:prstDash val="solid"/>
              </a:ln>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'⑥ Visualizations'!$B$26:$F$26</c:f>
              <c:strCache>
                <c:ptCount val="5"/>
                <c:pt idx="0">
                  <c:v>FY2020</c:v>
                </c:pt>
                <c:pt idx="1">
                  <c:v>FY2021</c:v>
                </c:pt>
                <c:pt idx="2">
                  <c:v>FY2022</c:v>
                </c:pt>
                <c:pt idx="3">
                  <c:v>FY2023</c:v>
                </c:pt>
                <c:pt idx="4">
                  <c:v>FY2024</c:v>
                </c:pt>
              </c:strCache>
            </c:strRef>
          </c:cat>
          <c:val>
            <c:numRef>
              <c:f>'⑥ Visualizations'!$B$27</c:f>
              <c:numCache>
                <c:formatCode>General</c:formatCode>
                <c:ptCount val="1"/>
                <c:pt idx="0">
                  <c:v>35.92</c:v>
                </c:pt>
              </c:numCache>
            </c:numRef>
          </c:val>
          <c:smooth val="1"/>
          <c:extLst>
            <c:ext xmlns:c16="http://schemas.microsoft.com/office/drawing/2014/chart" uri="{C3380CC4-5D6E-409C-BE32-E72D297353CC}">
              <c16:uniqueId val="{00000000-83CD-4BCE-909C-0A5406819144}"/>
            </c:ext>
          </c:extLst>
        </c:ser>
        <c:ser>
          <c:idx val="1"/>
          <c:order val="1"/>
          <c:tx>
            <c:v>Net Margin%</c:v>
          </c:tx>
          <c:spPr>
            <a:ln w="21960">
              <a:solidFill>
                <a:srgbClr val="E65100"/>
              </a:solidFill>
              <a:prstDash val="solid"/>
              <a:round/>
            </a:ln>
          </c:spPr>
          <c:marker>
            <c:symbol val="circle"/>
            <c:size val="5"/>
            <c:spPr>
              <a:solidFill>
                <a:srgbClr val="E65100"/>
              </a:solidFill>
              <a:ln>
                <a:prstDash val="solid"/>
              </a:ln>
            </c:spPr>
          </c:marker>
          <c:dLbls>
            <c:spPr>
              <a:noFill/>
              <a:ln>
                <a:noFill/>
                <a:prstDash val="solid"/>
              </a:ln>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'⑥ Visualizations'!$B$26:$F$26</c:f>
              <c:strCache>
                <c:ptCount val="5"/>
                <c:pt idx="0">
                  <c:v>FY2020</c:v>
                </c:pt>
                <c:pt idx="1">
                  <c:v>FY2021</c:v>
                </c:pt>
                <c:pt idx="2">
                  <c:v>FY2022</c:v>
                </c:pt>
                <c:pt idx="3">
                  <c:v>FY2023</c:v>
                </c:pt>
                <c:pt idx="4">
                  <c:v>FY2024</c:v>
                </c:pt>
              </c:strCache>
            </c:strRef>
          </c:cat>
          <c:val>
            <c:numRef>
              <c:f>'⑥ Visualizations'!$C$27</c:f>
              <c:numCache>
                <c:formatCode>General</c:formatCode>
                <c:ptCount val="1"/>
                <c:pt idx="0">
                  <c:v>29.79</c:v>
                </c:pt>
              </c:numCache>
            </c:numRef>
          </c:val>
          <c:smooth val="1"/>
          <c:extLst>
            <c:ext xmlns:c16="http://schemas.microsoft.com/office/drawing/2014/chart" uri="{C3380CC4-5D6E-409C-BE32-E72D297353CC}">
              <c16:uniqueId val="{00000001-83CD-4BCE-909C-0A5406819144}"/>
            </c:ext>
          </c:extLst>
        </c:ser>
        <c:ser>
          <c:idx val="2"/>
          <c:order val="2"/>
          <c:spPr>
            <a:ln w="28440">
              <a:solidFill>
                <a:srgbClr val="87A44B"/>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'⑥ Visualizations'!$B$26:$F$26</c:f>
              <c:strCache>
                <c:ptCount val="5"/>
                <c:pt idx="0">
                  <c:v>FY2020</c:v>
                </c:pt>
                <c:pt idx="1">
                  <c:v>FY2021</c:v>
                </c:pt>
                <c:pt idx="2">
                  <c:v>FY2022</c:v>
                </c:pt>
                <c:pt idx="3">
                  <c:v>FY2023</c:v>
                </c:pt>
                <c:pt idx="4">
                  <c:v>FY2024</c:v>
                </c:pt>
              </c:strCache>
            </c:strRef>
          </c:cat>
          <c:val>
            <c:numRef>
              <c:f>'⑥ Visualizations'!$D$27</c:f>
              <c:numCache>
                <c:formatCode>General</c:formatCode>
                <c:ptCount val="1"/>
                <c:pt idx="0">
                  <c:v>62.36</c:v>
                </c:pt>
              </c:numCache>
            </c:numRef>
          </c:val>
          <c:smooth val="1"/>
          <c:extLst>
            <c:ext xmlns:c16="http://schemas.microsoft.com/office/drawing/2014/chart" uri="{C3380CC4-5D6E-409C-BE32-E72D297353CC}">
              <c16:uniqueId val="{00000002-83CD-4BCE-909C-0A5406819144}"/>
            </c:ext>
          </c:extLst>
        </c:ser>
        <c:ser>
          <c:idx val="3"/>
          <c:order val="3"/>
          <c:spPr>
            <a:ln w="28440">
              <a:solidFill>
                <a:srgbClr val="6F568D"/>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'⑥ Visualizations'!$B$26:$F$26</c:f>
              <c:strCache>
                <c:ptCount val="5"/>
                <c:pt idx="0">
                  <c:v>FY2020</c:v>
                </c:pt>
                <c:pt idx="1">
                  <c:v>FY2021</c:v>
                </c:pt>
                <c:pt idx="2">
                  <c:v>FY2022</c:v>
                </c:pt>
                <c:pt idx="3">
                  <c:v>FY2023</c:v>
                </c:pt>
                <c:pt idx="4">
                  <c:v>FY2024</c:v>
                </c:pt>
              </c:strCache>
            </c:strRef>
          </c:cat>
          <c:val>
            <c:numRef>
              <c:f>'⑥ Visualizations'!$E$27</c:f>
              <c:numCache>
                <c:formatCode>General</c:formatCode>
                <c:ptCount val="1"/>
                <c:pt idx="0">
                  <c:v>61.38</c:v>
                </c:pt>
              </c:numCache>
            </c:numRef>
          </c:val>
          <c:smooth val="1"/>
          <c:extLst>
            <c:ext xmlns:c16="http://schemas.microsoft.com/office/drawing/2014/chart" uri="{C3380CC4-5D6E-409C-BE32-E72D297353CC}">
              <c16:uniqueId val="{00000003-83CD-4BCE-909C-0A5406819144}"/>
            </c:ext>
          </c:extLst>
        </c:ser>
        <c:ser>
          <c:idx val="4"/>
          <c:order val="4"/>
          <c:spPr>
            <a:ln w="28440">
              <a:solidFill>
                <a:srgbClr val="3D97AF"/>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'⑥ Visualizations'!$B$26:$F$26</c:f>
              <c:strCache>
                <c:ptCount val="5"/>
                <c:pt idx="0">
                  <c:v>FY2020</c:v>
                </c:pt>
                <c:pt idx="1">
                  <c:v>FY2021</c:v>
                </c:pt>
                <c:pt idx="2">
                  <c:v>FY2022</c:v>
                </c:pt>
                <c:pt idx="3">
                  <c:v>FY2023</c:v>
                </c:pt>
                <c:pt idx="4">
                  <c:v>FY2024</c:v>
                </c:pt>
              </c:strCache>
            </c:strRef>
          </c:cat>
          <c:val>
            <c:numRef>
              <c:f>'⑥ Visualizations'!$F$27</c:f>
              <c:numCache>
                <c:formatCode>General</c:formatCode>
                <c:ptCount val="1"/>
                <c:pt idx="0">
                  <c:v>61.6</c:v>
                </c:pt>
              </c:numCache>
            </c:numRef>
          </c:val>
          <c:smooth val="1"/>
          <c:extLst>
            <c:ext xmlns:c16="http://schemas.microsoft.com/office/drawing/2014/chart" uri="{C3380CC4-5D6E-409C-BE32-E72D297353CC}">
              <c16:uniqueId val="{00000004-83CD-4BCE-909C-0A5406819144}"/>
            </c:ext>
          </c:extLst>
        </c:ser>
        <c:ser>
          <c:idx val="5"/>
          <c:order val="5"/>
          <c:spPr>
            <a:ln w="28440">
              <a:solidFill>
                <a:srgbClr val="DB8238"/>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'⑥ Visualizations'!$B$26:$F$26</c:f>
              <c:strCache>
                <c:ptCount val="5"/>
                <c:pt idx="0">
                  <c:v>FY2020</c:v>
                </c:pt>
                <c:pt idx="1">
                  <c:v>FY2021</c:v>
                </c:pt>
                <c:pt idx="2">
                  <c:v>FY2022</c:v>
                </c:pt>
                <c:pt idx="3">
                  <c:v>FY2023</c:v>
                </c:pt>
                <c:pt idx="4">
                  <c:v>FY2024</c:v>
                </c:pt>
              </c:strCache>
            </c:strRef>
          </c:cat>
          <c:val>
            <c:numRef>
              <c:f>'⑥ Visualizations'!$B$28</c:f>
              <c:numCache>
                <c:formatCode>General</c:formatCode>
                <c:ptCount val="1"/>
                <c:pt idx="0">
                  <c:v>19.75</c:v>
                </c:pt>
              </c:numCache>
            </c:numRef>
          </c:val>
          <c:smooth val="1"/>
          <c:extLst>
            <c:ext xmlns:c16="http://schemas.microsoft.com/office/drawing/2014/chart" uri="{C3380CC4-5D6E-409C-BE32-E72D297353CC}">
              <c16:uniqueId val="{00000005-83CD-4BCE-909C-0A5406819144}"/>
            </c:ext>
          </c:extLst>
        </c:ser>
        <c:ser>
          <c:idx val="6"/>
          <c:order val="6"/>
          <c:spPr>
            <a:ln w="28440">
              <a:solidFill>
                <a:srgbClr val="8EA5CA"/>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'⑥ Visualizations'!$B$26:$F$26</c:f>
              <c:strCache>
                <c:ptCount val="5"/>
                <c:pt idx="0">
                  <c:v>FY2020</c:v>
                </c:pt>
                <c:pt idx="1">
                  <c:v>FY2021</c:v>
                </c:pt>
                <c:pt idx="2">
                  <c:v>FY2022</c:v>
                </c:pt>
                <c:pt idx="3">
                  <c:v>FY2023</c:v>
                </c:pt>
                <c:pt idx="4">
                  <c:v>FY2024</c:v>
                </c:pt>
              </c:strCache>
            </c:strRef>
          </c:cat>
          <c:val>
            <c:numRef>
              <c:f>'⑥ Visualizations'!$C$28</c:f>
              <c:numCache>
                <c:formatCode>General</c:formatCode>
                <c:ptCount val="1"/>
                <c:pt idx="0">
                  <c:v>15.14</c:v>
                </c:pt>
              </c:numCache>
            </c:numRef>
          </c:val>
          <c:smooth val="1"/>
          <c:extLst>
            <c:ext xmlns:c16="http://schemas.microsoft.com/office/drawing/2014/chart" uri="{C3380CC4-5D6E-409C-BE32-E72D297353CC}">
              <c16:uniqueId val="{00000006-83CD-4BCE-909C-0A5406819144}"/>
            </c:ext>
          </c:extLst>
        </c:ser>
        <c:ser>
          <c:idx val="7"/>
          <c:order val="7"/>
          <c:spPr>
            <a:ln w="28440">
              <a:solidFill>
                <a:srgbClr val="CC8F8E"/>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'⑥ Visualizations'!$B$26:$F$26</c:f>
              <c:strCache>
                <c:ptCount val="5"/>
                <c:pt idx="0">
                  <c:v>FY2020</c:v>
                </c:pt>
                <c:pt idx="1">
                  <c:v>FY2021</c:v>
                </c:pt>
                <c:pt idx="2">
                  <c:v>FY2022</c:v>
                </c:pt>
                <c:pt idx="3">
                  <c:v>FY2023</c:v>
                </c:pt>
                <c:pt idx="4">
                  <c:v>FY2024</c:v>
                </c:pt>
              </c:strCache>
            </c:strRef>
          </c:cat>
          <c:val>
            <c:numRef>
              <c:f>'⑥ Visualizations'!$D$28</c:f>
              <c:numCache>
                <c:formatCode>General</c:formatCode>
                <c:ptCount val="1"/>
                <c:pt idx="0">
                  <c:v>42.67</c:v>
                </c:pt>
              </c:numCache>
            </c:numRef>
          </c:val>
          <c:smooth val="1"/>
          <c:extLst>
            <c:ext xmlns:c16="http://schemas.microsoft.com/office/drawing/2014/chart" uri="{C3380CC4-5D6E-409C-BE32-E72D297353CC}">
              <c16:uniqueId val="{00000007-83CD-4BCE-909C-0A5406819144}"/>
            </c:ext>
          </c:extLst>
        </c:ser>
        <c:ser>
          <c:idx val="8"/>
          <c:order val="8"/>
          <c:spPr>
            <a:ln w="28440">
              <a:solidFill>
                <a:srgbClr val="B3C992"/>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'⑥ Visualizations'!$B$26:$F$26</c:f>
              <c:strCache>
                <c:ptCount val="5"/>
                <c:pt idx="0">
                  <c:v>FY2020</c:v>
                </c:pt>
                <c:pt idx="1">
                  <c:v>FY2021</c:v>
                </c:pt>
                <c:pt idx="2">
                  <c:v>FY2022</c:v>
                </c:pt>
                <c:pt idx="3">
                  <c:v>FY2023</c:v>
                </c:pt>
                <c:pt idx="4">
                  <c:v>FY2024</c:v>
                </c:pt>
              </c:strCache>
            </c:strRef>
          </c:cat>
          <c:val>
            <c:numRef>
              <c:f>'⑥ Visualizations'!$E$28</c:f>
              <c:numCache>
                <c:formatCode>General</c:formatCode>
                <c:ptCount val="1"/>
                <c:pt idx="0">
                  <c:v>43.64</c:v>
                </c:pt>
              </c:numCache>
            </c:numRef>
          </c:val>
          <c:smooth val="1"/>
          <c:extLst>
            <c:ext xmlns:c16="http://schemas.microsoft.com/office/drawing/2014/chart" uri="{C3380CC4-5D6E-409C-BE32-E72D297353CC}">
              <c16:uniqueId val="{00000008-83CD-4BCE-909C-0A5406819144}"/>
            </c:ext>
          </c:extLst>
        </c:ser>
        <c:ser>
          <c:idx val="9"/>
          <c:order val="9"/>
          <c:spPr>
            <a:ln w="28440">
              <a:solidFill>
                <a:srgbClr val="A596B9"/>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'⑥ Visualizations'!$B$26:$F$26</c:f>
              <c:strCache>
                <c:ptCount val="5"/>
                <c:pt idx="0">
                  <c:v>FY2020</c:v>
                </c:pt>
                <c:pt idx="1">
                  <c:v>FY2021</c:v>
                </c:pt>
                <c:pt idx="2">
                  <c:v>FY2022</c:v>
                </c:pt>
                <c:pt idx="3">
                  <c:v>FY2023</c:v>
                </c:pt>
                <c:pt idx="4">
                  <c:v>FY2024</c:v>
                </c:pt>
              </c:strCache>
            </c:strRef>
          </c:cat>
          <c:val>
            <c:numRef>
              <c:f>'⑥ Visualizations'!$F$28</c:f>
              <c:numCache>
                <c:formatCode>General</c:formatCode>
                <c:ptCount val="1"/>
                <c:pt idx="0">
                  <c:v>44.58</c:v>
                </c:pt>
              </c:numCache>
            </c:numRef>
          </c:val>
          <c:smooth val="1"/>
          <c:extLst>
            <c:ext xmlns:c16="http://schemas.microsoft.com/office/drawing/2014/chart" uri="{C3380CC4-5D6E-409C-BE32-E72D297353CC}">
              <c16:uniqueId val="{00000009-83CD-4BCE-909C-0A5406819144}"/>
            </c:ext>
          </c:extLst>
        </c:ser>
        <c:dLbls>
          <c:showLegendKey val="0"/>
          <c:showVal val="0"/>
          <c:showCatName val="0"/>
          <c:showSerName val="0"/>
          <c:showPercent val="0"/>
          <c:showBubbleSize val="0"/>
        </c:dLbls>
        <c:hiLowLines>
          <c:spPr>
            <a:ln w="0">
              <a:noFill/>
              <a:prstDash val="solid"/>
            </a:ln>
          </c:spPr>
        </c:hiLowLines>
        <c:marker val="1"/>
        <c:smooth val="0"/>
        <c:axId val="79846276"/>
        <c:axId val="59341217"/>
      </c:lineChart>
      <c:catAx>
        <c:axId val="79846276"/>
        <c:scaling>
          <c:orientation val="minMax"/>
        </c:scaling>
        <c:delete val="1"/>
        <c:axPos val="b"/>
        <c:title>
          <c:tx>
            <c:rich>
              <a:bodyPr rot="0"/>
              <a:lstStyle/>
              <a:p>
                <a:pPr>
                  <a:defRPr lang="en-US" sz="1000" b="1" strike="noStrike" spc="-1">
                    <a:solidFill>
                      <a:srgbClr val="000000"/>
                    </a:solidFill>
                    <a:latin typeface="Calibri"/>
                  </a:defRPr>
                </a:pPr>
                <a:r>
                  <a:rPr lang="en-US" sz="1000" b="1" strike="noStrike" spc="-1">
                    <a:solidFill>
                      <a:srgbClr val="000000"/>
                    </a:solidFill>
                    <a:latin typeface="Calibri"/>
                  </a:rPr>
                  <a:t>Fiscal Year</a:t>
                </a:r>
              </a:p>
            </c:rich>
          </c:tx>
          <c:overlay val="0"/>
          <c:spPr>
            <a:noFill/>
            <a:ln w="0">
              <a:noFill/>
              <a:prstDash val="solid"/>
            </a:ln>
          </c:spPr>
        </c:title>
        <c:numFmt formatCode="General" sourceLinked="1"/>
        <c:majorTickMark val="none"/>
        <c:minorTickMark val="none"/>
        <c:tickLblPos val="nextTo"/>
        <c:crossAx val="59341217"/>
        <c:crosses val="autoZero"/>
        <c:auto val="1"/>
        <c:lblAlgn val="ctr"/>
        <c:lblOffset val="100"/>
        <c:noMultiLvlLbl val="0"/>
      </c:catAx>
      <c:valAx>
        <c:axId val="59341217"/>
        <c:scaling>
          <c:orientation val="minMax"/>
        </c:scaling>
        <c:delete val="1"/>
        <c:axPos val="l"/>
        <c:majorGridlines>
          <c:spPr>
            <a:ln w="9360">
              <a:solidFill>
                <a:srgbClr val="878787"/>
              </a:solidFill>
              <a:prstDash val="solid"/>
              <a:round/>
            </a:ln>
          </c:spPr>
        </c:majorGridlines>
        <c:title>
          <c:tx>
            <c:rich>
              <a:bodyPr rot="-5400000"/>
              <a:lstStyle/>
              <a:p>
                <a:pPr>
                  <a:defRPr lang="en-US" sz="1000" b="1" strike="noStrike" spc="-1">
                    <a:solidFill>
                      <a:srgbClr val="000000"/>
                    </a:solidFill>
                    <a:latin typeface="Calibri"/>
                  </a:defRPr>
                </a:pPr>
                <a:r>
                  <a:rPr lang="en-US" sz="1000" b="1" strike="noStrike" spc="-1">
                    <a:solidFill>
                      <a:srgbClr val="000000"/>
                    </a:solidFill>
                    <a:latin typeface="Calibri"/>
                  </a:rPr>
                  <a:t>Margin %</a:t>
                </a:r>
              </a:p>
            </c:rich>
          </c:tx>
          <c:overlay val="0"/>
          <c:spPr>
            <a:noFill/>
            <a:ln w="0">
              <a:noFill/>
              <a:prstDash val="solid"/>
            </a:ln>
          </c:spPr>
        </c:title>
        <c:numFmt formatCode="General" sourceLinked="1"/>
        <c:majorTickMark val="none"/>
        <c:minorTickMark val="none"/>
        <c:tickLblPos val="nextTo"/>
        <c:crossAx val="79846276"/>
        <c:crosses val="autoZero"/>
        <c:crossBetween val="between"/>
      </c:valAx>
    </c:plotArea>
    <c:legend>
      <c:legendPos val="r"/>
      <c:overlay val="1"/>
      <c:spPr>
        <a:noFill/>
        <a:ln w="0">
          <a:noFill/>
          <a:prstDash val="solid"/>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DAM Capital — Return Metrics (%)</a:t>
            </a:r>
          </a:p>
        </c:rich>
      </c:tx>
      <c:overlay val="0"/>
      <c:spPr>
        <a:noFill/>
        <a:ln w="0">
          <a:noFill/>
          <a:prstDash val="solid"/>
        </a:ln>
      </c:spPr>
    </c:title>
    <c:autoTitleDeleted val="0"/>
    <c:plotArea>
      <c:layout/>
      <c:barChart>
        <c:barDir val="col"/>
        <c:grouping val="clustered"/>
        <c:varyColors val="0"/>
        <c:ser>
          <c:idx val="0"/>
          <c:order val="0"/>
          <c:tx>
            <c:v>ROE%</c:v>
          </c:tx>
          <c:spPr>
            <a:solidFill>
              <a:srgbClr val="1565C0"/>
            </a:solidFill>
            <a:ln w="0">
              <a:noFill/>
              <a:prstDash val="solid"/>
            </a:ln>
          </c:spPr>
          <c:invertIfNegative val="0"/>
          <c:dLbls>
            <c:spPr>
              <a:noFill/>
              <a:ln>
                <a:noFill/>
                <a:prstDash val="solid"/>
              </a:ln>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'⑥ Visualizations'!$B$30:$F$30</c:f>
              <c:strCache>
                <c:ptCount val="5"/>
                <c:pt idx="0">
                  <c:v>FY2020</c:v>
                </c:pt>
                <c:pt idx="1">
                  <c:v>FY2021</c:v>
                </c:pt>
                <c:pt idx="2">
                  <c:v>FY2022</c:v>
                </c:pt>
                <c:pt idx="3">
                  <c:v>FY2023</c:v>
                </c:pt>
                <c:pt idx="4">
                  <c:v>FY2024</c:v>
                </c:pt>
              </c:strCache>
            </c:strRef>
          </c:cat>
          <c:val>
            <c:numRef>
              <c:f>'⑥ Visualizations'!$B$31</c:f>
              <c:numCache>
                <c:formatCode>General</c:formatCode>
                <c:ptCount val="1"/>
                <c:pt idx="0">
                  <c:v>20.16</c:v>
                </c:pt>
              </c:numCache>
            </c:numRef>
          </c:val>
          <c:extLst>
            <c:ext xmlns:c16="http://schemas.microsoft.com/office/drawing/2014/chart" uri="{C3380CC4-5D6E-409C-BE32-E72D297353CC}">
              <c16:uniqueId val="{00000000-45BB-482B-904A-AB8287AA963A}"/>
            </c:ext>
          </c:extLst>
        </c:ser>
        <c:ser>
          <c:idx val="1"/>
          <c:order val="1"/>
          <c:tx>
            <c:v>ROA%</c:v>
          </c:tx>
          <c:spPr>
            <a:solidFill>
              <a:srgbClr val="E65100"/>
            </a:solidFill>
            <a:ln w="0">
              <a:noFill/>
              <a:prstDash val="solid"/>
            </a:ln>
          </c:spPr>
          <c:invertIfNegative val="0"/>
          <c:dLbls>
            <c:spPr>
              <a:noFill/>
              <a:ln>
                <a:noFill/>
                <a:prstDash val="solid"/>
              </a:ln>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'⑥ Visualizations'!$B$30:$F$30</c:f>
              <c:strCache>
                <c:ptCount val="5"/>
                <c:pt idx="0">
                  <c:v>FY2020</c:v>
                </c:pt>
                <c:pt idx="1">
                  <c:v>FY2021</c:v>
                </c:pt>
                <c:pt idx="2">
                  <c:v>FY2022</c:v>
                </c:pt>
                <c:pt idx="3">
                  <c:v>FY2023</c:v>
                </c:pt>
                <c:pt idx="4">
                  <c:v>FY2024</c:v>
                </c:pt>
              </c:strCache>
            </c:strRef>
          </c:cat>
          <c:val>
            <c:numRef>
              <c:f>'⑥ Visualizations'!$C$31</c:f>
              <c:numCache>
                <c:formatCode>General</c:formatCode>
                <c:ptCount val="1"/>
                <c:pt idx="0">
                  <c:v>10.36</c:v>
                </c:pt>
              </c:numCache>
            </c:numRef>
          </c:val>
          <c:extLst>
            <c:ext xmlns:c16="http://schemas.microsoft.com/office/drawing/2014/chart" uri="{C3380CC4-5D6E-409C-BE32-E72D297353CC}">
              <c16:uniqueId val="{00000001-45BB-482B-904A-AB8287AA963A}"/>
            </c:ext>
          </c:extLst>
        </c:ser>
        <c:ser>
          <c:idx val="2"/>
          <c:order val="2"/>
          <c:spPr>
            <a:solidFill>
              <a:srgbClr val="8AA64F"/>
            </a:solidFill>
            <a:ln w="0">
              <a:noFill/>
              <a:prstDash val="solid"/>
            </a:ln>
          </c:spPr>
          <c:invertIfNegative val="0"/>
          <c:dLbls>
            <c:spPr>
              <a:noFill/>
              <a:ln>
                <a:noFill/>
                <a:prstDash val="solid"/>
              </a:ln>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'⑥ Visualizations'!$B$30:$F$30</c:f>
              <c:strCache>
                <c:ptCount val="5"/>
                <c:pt idx="0">
                  <c:v>FY2020</c:v>
                </c:pt>
                <c:pt idx="1">
                  <c:v>FY2021</c:v>
                </c:pt>
                <c:pt idx="2">
                  <c:v>FY2022</c:v>
                </c:pt>
                <c:pt idx="3">
                  <c:v>FY2023</c:v>
                </c:pt>
                <c:pt idx="4">
                  <c:v>FY2024</c:v>
                </c:pt>
              </c:strCache>
            </c:strRef>
          </c:cat>
          <c:val>
            <c:numRef>
              <c:f>'⑥ Visualizations'!$D$31</c:f>
              <c:numCache>
                <c:formatCode>General</c:formatCode>
                <c:ptCount val="1"/>
                <c:pt idx="0">
                  <c:v>49.47</c:v>
                </c:pt>
              </c:numCache>
            </c:numRef>
          </c:val>
          <c:extLst>
            <c:ext xmlns:c16="http://schemas.microsoft.com/office/drawing/2014/chart" uri="{C3380CC4-5D6E-409C-BE32-E72D297353CC}">
              <c16:uniqueId val="{00000002-45BB-482B-904A-AB8287AA963A}"/>
            </c:ext>
          </c:extLst>
        </c:ser>
        <c:ser>
          <c:idx val="3"/>
          <c:order val="3"/>
          <c:spPr>
            <a:solidFill>
              <a:srgbClr val="725990"/>
            </a:solidFill>
            <a:ln w="0">
              <a:noFill/>
              <a:prstDash val="solid"/>
            </a:ln>
          </c:spPr>
          <c:invertIfNegative val="0"/>
          <c:dLbls>
            <c:spPr>
              <a:noFill/>
              <a:ln>
                <a:noFill/>
                <a:prstDash val="solid"/>
              </a:ln>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'⑥ Visualizations'!$B$30:$F$30</c:f>
              <c:strCache>
                <c:ptCount val="5"/>
                <c:pt idx="0">
                  <c:v>FY2020</c:v>
                </c:pt>
                <c:pt idx="1">
                  <c:v>FY2021</c:v>
                </c:pt>
                <c:pt idx="2">
                  <c:v>FY2022</c:v>
                </c:pt>
                <c:pt idx="3">
                  <c:v>FY2023</c:v>
                </c:pt>
                <c:pt idx="4">
                  <c:v>FY2024</c:v>
                </c:pt>
              </c:strCache>
            </c:strRef>
          </c:cat>
          <c:val>
            <c:numRef>
              <c:f>'⑥ Visualizations'!$E$31</c:f>
              <c:numCache>
                <c:formatCode>General</c:formatCode>
                <c:ptCount val="1"/>
                <c:pt idx="0">
                  <c:v>63.46</c:v>
                </c:pt>
              </c:numCache>
            </c:numRef>
          </c:val>
          <c:extLst>
            <c:ext xmlns:c16="http://schemas.microsoft.com/office/drawing/2014/chart" uri="{C3380CC4-5D6E-409C-BE32-E72D297353CC}">
              <c16:uniqueId val="{00000003-45BB-482B-904A-AB8287AA963A}"/>
            </c:ext>
          </c:extLst>
        </c:ser>
        <c:ser>
          <c:idx val="4"/>
          <c:order val="4"/>
          <c:spPr>
            <a:solidFill>
              <a:srgbClr val="4299B0"/>
            </a:solidFill>
            <a:ln w="0">
              <a:noFill/>
              <a:prstDash val="solid"/>
            </a:ln>
          </c:spPr>
          <c:invertIfNegative val="0"/>
          <c:dLbls>
            <c:spPr>
              <a:noFill/>
              <a:ln>
                <a:noFill/>
                <a:prstDash val="solid"/>
              </a:ln>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'⑥ Visualizations'!$B$30:$F$30</c:f>
              <c:strCache>
                <c:ptCount val="5"/>
                <c:pt idx="0">
                  <c:v>FY2020</c:v>
                </c:pt>
                <c:pt idx="1">
                  <c:v>FY2021</c:v>
                </c:pt>
                <c:pt idx="2">
                  <c:v>FY2022</c:v>
                </c:pt>
                <c:pt idx="3">
                  <c:v>FY2023</c:v>
                </c:pt>
                <c:pt idx="4">
                  <c:v>FY2024</c:v>
                </c:pt>
              </c:strCache>
            </c:strRef>
          </c:cat>
          <c:val>
            <c:numRef>
              <c:f>'⑥ Visualizations'!$F$31</c:f>
              <c:numCache>
                <c:formatCode>General</c:formatCode>
                <c:ptCount val="1"/>
                <c:pt idx="0">
                  <c:v>54.5</c:v>
                </c:pt>
              </c:numCache>
            </c:numRef>
          </c:val>
          <c:extLst>
            <c:ext xmlns:c16="http://schemas.microsoft.com/office/drawing/2014/chart" uri="{C3380CC4-5D6E-409C-BE32-E72D297353CC}">
              <c16:uniqueId val="{00000004-45BB-482B-904A-AB8287AA963A}"/>
            </c:ext>
          </c:extLst>
        </c:ser>
        <c:ser>
          <c:idx val="5"/>
          <c:order val="5"/>
          <c:spPr>
            <a:solidFill>
              <a:srgbClr val="DC853E"/>
            </a:solidFill>
            <a:ln w="0">
              <a:noFill/>
              <a:prstDash val="solid"/>
            </a:ln>
          </c:spPr>
          <c:invertIfNegative val="0"/>
          <c:dLbls>
            <c:spPr>
              <a:noFill/>
              <a:ln>
                <a:noFill/>
                <a:prstDash val="solid"/>
              </a:ln>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'⑥ Visualizations'!$B$30:$F$30</c:f>
              <c:strCache>
                <c:ptCount val="5"/>
                <c:pt idx="0">
                  <c:v>FY2020</c:v>
                </c:pt>
                <c:pt idx="1">
                  <c:v>FY2021</c:v>
                </c:pt>
                <c:pt idx="2">
                  <c:v>FY2022</c:v>
                </c:pt>
                <c:pt idx="3">
                  <c:v>FY2023</c:v>
                </c:pt>
                <c:pt idx="4">
                  <c:v>FY2024</c:v>
                </c:pt>
              </c:strCache>
            </c:strRef>
          </c:cat>
          <c:val>
            <c:numRef>
              <c:f>'⑥ Visualizations'!$B$32</c:f>
              <c:numCache>
                <c:formatCode>General</c:formatCode>
                <c:ptCount val="1"/>
                <c:pt idx="0">
                  <c:v>14.72</c:v>
                </c:pt>
              </c:numCache>
            </c:numRef>
          </c:val>
          <c:extLst>
            <c:ext xmlns:c16="http://schemas.microsoft.com/office/drawing/2014/chart" uri="{C3380CC4-5D6E-409C-BE32-E72D297353CC}">
              <c16:uniqueId val="{00000005-45BB-482B-904A-AB8287AA963A}"/>
            </c:ext>
          </c:extLst>
        </c:ser>
        <c:ser>
          <c:idx val="6"/>
          <c:order val="6"/>
          <c:spPr>
            <a:solidFill>
              <a:srgbClr val="93A9CE"/>
            </a:solidFill>
            <a:ln w="0">
              <a:noFill/>
              <a:prstDash val="solid"/>
            </a:ln>
          </c:spPr>
          <c:invertIfNegative val="0"/>
          <c:dLbls>
            <c:spPr>
              <a:noFill/>
              <a:ln>
                <a:noFill/>
                <a:prstDash val="solid"/>
              </a:ln>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'⑥ Visualizations'!$B$30:$F$30</c:f>
              <c:strCache>
                <c:ptCount val="5"/>
                <c:pt idx="0">
                  <c:v>FY2020</c:v>
                </c:pt>
                <c:pt idx="1">
                  <c:v>FY2021</c:v>
                </c:pt>
                <c:pt idx="2">
                  <c:v>FY2022</c:v>
                </c:pt>
                <c:pt idx="3">
                  <c:v>FY2023</c:v>
                </c:pt>
                <c:pt idx="4">
                  <c:v>FY2024</c:v>
                </c:pt>
              </c:strCache>
            </c:strRef>
          </c:cat>
          <c:val>
            <c:numRef>
              <c:f>'⑥ Visualizations'!$C$32</c:f>
              <c:numCache>
                <c:formatCode>General</c:formatCode>
                <c:ptCount val="1"/>
                <c:pt idx="0">
                  <c:v>8.33</c:v>
                </c:pt>
              </c:numCache>
            </c:numRef>
          </c:val>
          <c:extLst>
            <c:ext xmlns:c16="http://schemas.microsoft.com/office/drawing/2014/chart" uri="{C3380CC4-5D6E-409C-BE32-E72D297353CC}">
              <c16:uniqueId val="{00000006-45BB-482B-904A-AB8287AA963A}"/>
            </c:ext>
          </c:extLst>
        </c:ser>
        <c:ser>
          <c:idx val="7"/>
          <c:order val="7"/>
          <c:spPr>
            <a:solidFill>
              <a:srgbClr val="D09493"/>
            </a:solidFill>
            <a:ln w="0">
              <a:noFill/>
              <a:prstDash val="solid"/>
            </a:ln>
          </c:spPr>
          <c:invertIfNegative val="0"/>
          <c:dLbls>
            <c:spPr>
              <a:noFill/>
              <a:ln>
                <a:noFill/>
                <a:prstDash val="solid"/>
              </a:ln>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'⑥ Visualizations'!$B$30:$F$30</c:f>
              <c:strCache>
                <c:ptCount val="5"/>
                <c:pt idx="0">
                  <c:v>FY2020</c:v>
                </c:pt>
                <c:pt idx="1">
                  <c:v>FY2021</c:v>
                </c:pt>
                <c:pt idx="2">
                  <c:v>FY2022</c:v>
                </c:pt>
                <c:pt idx="3">
                  <c:v>FY2023</c:v>
                </c:pt>
                <c:pt idx="4">
                  <c:v>FY2024</c:v>
                </c:pt>
              </c:strCache>
            </c:strRef>
          </c:cat>
          <c:val>
            <c:numRef>
              <c:f>'⑥ Visualizations'!$D$32</c:f>
              <c:numCache>
                <c:formatCode>General</c:formatCode>
                <c:ptCount val="1"/>
                <c:pt idx="0">
                  <c:v>37.619999999999997</c:v>
                </c:pt>
              </c:numCache>
            </c:numRef>
          </c:val>
          <c:extLst>
            <c:ext xmlns:c16="http://schemas.microsoft.com/office/drawing/2014/chart" uri="{C3380CC4-5D6E-409C-BE32-E72D297353CC}">
              <c16:uniqueId val="{00000007-45BB-482B-904A-AB8287AA963A}"/>
            </c:ext>
          </c:extLst>
        </c:ser>
        <c:ser>
          <c:idx val="8"/>
          <c:order val="8"/>
          <c:spPr>
            <a:solidFill>
              <a:srgbClr val="B8CD97"/>
            </a:solidFill>
            <a:ln w="0">
              <a:noFill/>
              <a:prstDash val="solid"/>
            </a:ln>
          </c:spPr>
          <c:invertIfNegative val="0"/>
          <c:dLbls>
            <c:spPr>
              <a:noFill/>
              <a:ln>
                <a:noFill/>
                <a:prstDash val="solid"/>
              </a:ln>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'⑥ Visualizations'!$B$30:$F$30</c:f>
              <c:strCache>
                <c:ptCount val="5"/>
                <c:pt idx="0">
                  <c:v>FY2020</c:v>
                </c:pt>
                <c:pt idx="1">
                  <c:v>FY2021</c:v>
                </c:pt>
                <c:pt idx="2">
                  <c:v>FY2022</c:v>
                </c:pt>
                <c:pt idx="3">
                  <c:v>FY2023</c:v>
                </c:pt>
                <c:pt idx="4">
                  <c:v>FY2024</c:v>
                </c:pt>
              </c:strCache>
            </c:strRef>
          </c:cat>
          <c:val>
            <c:numRef>
              <c:f>'⑥ Visualizations'!$E$32</c:f>
              <c:numCache>
                <c:formatCode>General</c:formatCode>
                <c:ptCount val="1"/>
                <c:pt idx="0">
                  <c:v>54.03</c:v>
                </c:pt>
              </c:numCache>
            </c:numRef>
          </c:val>
          <c:extLst>
            <c:ext xmlns:c16="http://schemas.microsoft.com/office/drawing/2014/chart" uri="{C3380CC4-5D6E-409C-BE32-E72D297353CC}">
              <c16:uniqueId val="{00000008-45BB-482B-904A-AB8287AA963A}"/>
            </c:ext>
          </c:extLst>
        </c:ser>
        <c:ser>
          <c:idx val="9"/>
          <c:order val="9"/>
          <c:spPr>
            <a:solidFill>
              <a:srgbClr val="A99BBD"/>
            </a:solidFill>
            <a:ln w="0">
              <a:noFill/>
              <a:prstDash val="solid"/>
            </a:ln>
          </c:spPr>
          <c:invertIfNegative val="0"/>
          <c:dLbls>
            <c:spPr>
              <a:noFill/>
              <a:ln>
                <a:noFill/>
                <a:prstDash val="solid"/>
              </a:ln>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'⑥ Visualizations'!$B$30:$F$30</c:f>
              <c:strCache>
                <c:ptCount val="5"/>
                <c:pt idx="0">
                  <c:v>FY2020</c:v>
                </c:pt>
                <c:pt idx="1">
                  <c:v>FY2021</c:v>
                </c:pt>
                <c:pt idx="2">
                  <c:v>FY2022</c:v>
                </c:pt>
                <c:pt idx="3">
                  <c:v>FY2023</c:v>
                </c:pt>
                <c:pt idx="4">
                  <c:v>FY2024</c:v>
                </c:pt>
              </c:strCache>
            </c:strRef>
          </c:cat>
          <c:val>
            <c:numRef>
              <c:f>'⑥ Visualizations'!$F$32</c:f>
              <c:numCache>
                <c:formatCode>General</c:formatCode>
                <c:ptCount val="1"/>
                <c:pt idx="0">
                  <c:v>44.56</c:v>
                </c:pt>
              </c:numCache>
            </c:numRef>
          </c:val>
          <c:extLst>
            <c:ext xmlns:c16="http://schemas.microsoft.com/office/drawing/2014/chart" uri="{C3380CC4-5D6E-409C-BE32-E72D297353CC}">
              <c16:uniqueId val="{00000009-45BB-482B-904A-AB8287AA963A}"/>
            </c:ext>
          </c:extLst>
        </c:ser>
        <c:dLbls>
          <c:showLegendKey val="0"/>
          <c:showVal val="0"/>
          <c:showCatName val="0"/>
          <c:showSerName val="0"/>
          <c:showPercent val="0"/>
          <c:showBubbleSize val="0"/>
        </c:dLbls>
        <c:gapWidth val="150"/>
        <c:axId val="70264456"/>
        <c:axId val="22173457"/>
      </c:barChart>
      <c:catAx>
        <c:axId val="70264456"/>
        <c:scaling>
          <c:orientation val="minMax"/>
        </c:scaling>
        <c:delete val="1"/>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Fiscal Year</a:t>
                </a:r>
              </a:p>
            </c:rich>
          </c:tx>
          <c:overlay val="0"/>
          <c:spPr>
            <a:noFill/>
            <a:ln w="0">
              <a:noFill/>
              <a:prstDash val="solid"/>
            </a:ln>
          </c:spPr>
        </c:title>
        <c:numFmt formatCode="General" sourceLinked="1"/>
        <c:majorTickMark val="none"/>
        <c:minorTickMark val="none"/>
        <c:tickLblPos val="nextTo"/>
        <c:crossAx val="22173457"/>
        <c:crosses val="autoZero"/>
        <c:auto val="1"/>
        <c:lblAlgn val="ctr"/>
        <c:lblOffset val="100"/>
        <c:noMultiLvlLbl val="0"/>
      </c:catAx>
      <c:valAx>
        <c:axId val="22173457"/>
        <c:scaling>
          <c:orientation val="minMax"/>
        </c:scaling>
        <c:delete val="1"/>
        <c:axPos val="l"/>
        <c:majorGridlines>
          <c:spPr>
            <a:ln w="9360">
              <a:solidFill>
                <a:srgbClr val="878787"/>
              </a:solidFill>
              <a:prstDash val="solid"/>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Return %</a:t>
                </a:r>
              </a:p>
            </c:rich>
          </c:tx>
          <c:overlay val="0"/>
          <c:spPr>
            <a:noFill/>
            <a:ln w="0">
              <a:noFill/>
              <a:prstDash val="solid"/>
            </a:ln>
          </c:spPr>
        </c:title>
        <c:numFmt formatCode="General" sourceLinked="1"/>
        <c:majorTickMark val="none"/>
        <c:minorTickMark val="none"/>
        <c:tickLblPos val="nextTo"/>
        <c:crossAx val="70264456"/>
        <c:crosses val="autoZero"/>
        <c:crossBetween val="between"/>
      </c:valAx>
    </c:plotArea>
    <c:legend>
      <c:legendPos val="r"/>
      <c:overlay val="1"/>
      <c:spPr>
        <a:noFill/>
        <a:ln w="0">
          <a:noFill/>
          <a:prstDash val="solid"/>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DAM Capital — CFO vs FCF (₹ Cr)</a:t>
            </a:r>
          </a:p>
        </c:rich>
      </c:tx>
      <c:overlay val="0"/>
      <c:spPr>
        <a:noFill/>
        <a:ln w="0">
          <a:noFill/>
          <a:prstDash val="solid"/>
        </a:ln>
      </c:spPr>
    </c:title>
    <c:autoTitleDeleted val="0"/>
    <c:plotArea>
      <c:layout/>
      <c:lineChart>
        <c:grouping val="standard"/>
        <c:varyColors val="0"/>
        <c:ser>
          <c:idx val="0"/>
          <c:order val="0"/>
          <c:tx>
            <c:v>CFO</c:v>
          </c:tx>
          <c:spPr>
            <a:ln w="21960">
              <a:solidFill>
                <a:srgbClr val="1565C0"/>
              </a:solidFill>
              <a:prstDash val="solid"/>
              <a:round/>
            </a:ln>
          </c:spPr>
          <c:marker>
            <c:symbol val="circle"/>
            <c:size val="5"/>
            <c:spPr>
              <a:solidFill>
                <a:srgbClr val="1565C0"/>
              </a:solidFill>
              <a:ln>
                <a:prstDash val="solid"/>
              </a:ln>
            </c:spPr>
          </c:marker>
          <c:dLbls>
            <c:spPr>
              <a:noFill/>
              <a:ln>
                <a:noFill/>
                <a:prstDash val="solid"/>
              </a:ln>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'⑥ Visualizations'!$B$34:$F$34</c:f>
              <c:strCache>
                <c:ptCount val="5"/>
                <c:pt idx="0">
                  <c:v>FY2020</c:v>
                </c:pt>
                <c:pt idx="1">
                  <c:v>FY2021</c:v>
                </c:pt>
                <c:pt idx="2">
                  <c:v>FY2022</c:v>
                </c:pt>
                <c:pt idx="3">
                  <c:v>FY2023</c:v>
                </c:pt>
                <c:pt idx="4">
                  <c:v>FY2024</c:v>
                </c:pt>
              </c:strCache>
            </c:strRef>
          </c:cat>
          <c:val>
            <c:numRef>
              <c:f>'⑥ Visualizations'!$B$35</c:f>
              <c:numCache>
                <c:formatCode>General</c:formatCode>
                <c:ptCount val="1"/>
                <c:pt idx="0">
                  <c:v>22.8</c:v>
                </c:pt>
              </c:numCache>
            </c:numRef>
          </c:val>
          <c:smooth val="1"/>
          <c:extLst>
            <c:ext xmlns:c16="http://schemas.microsoft.com/office/drawing/2014/chart" uri="{C3380CC4-5D6E-409C-BE32-E72D297353CC}">
              <c16:uniqueId val="{00000000-6CF1-46A6-9CFF-5FF5E522C4F0}"/>
            </c:ext>
          </c:extLst>
        </c:ser>
        <c:ser>
          <c:idx val="1"/>
          <c:order val="1"/>
          <c:tx>
            <c:v>FCF</c:v>
          </c:tx>
          <c:spPr>
            <a:ln w="21960">
              <a:solidFill>
                <a:srgbClr val="E65100"/>
              </a:solidFill>
              <a:prstDash val="solid"/>
              <a:round/>
            </a:ln>
          </c:spPr>
          <c:marker>
            <c:symbol val="circle"/>
            <c:size val="5"/>
            <c:spPr>
              <a:solidFill>
                <a:srgbClr val="E65100"/>
              </a:solidFill>
              <a:ln>
                <a:prstDash val="solid"/>
              </a:ln>
            </c:spPr>
          </c:marker>
          <c:dLbls>
            <c:spPr>
              <a:noFill/>
              <a:ln>
                <a:noFill/>
                <a:prstDash val="solid"/>
              </a:ln>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'⑥ Visualizations'!$B$34:$F$34</c:f>
              <c:strCache>
                <c:ptCount val="5"/>
                <c:pt idx="0">
                  <c:v>FY2020</c:v>
                </c:pt>
                <c:pt idx="1">
                  <c:v>FY2021</c:v>
                </c:pt>
                <c:pt idx="2">
                  <c:v>FY2022</c:v>
                </c:pt>
                <c:pt idx="3">
                  <c:v>FY2023</c:v>
                </c:pt>
                <c:pt idx="4">
                  <c:v>FY2024</c:v>
                </c:pt>
              </c:strCache>
            </c:strRef>
          </c:cat>
          <c:val>
            <c:numRef>
              <c:f>'⑥ Visualizations'!$C$35</c:f>
              <c:numCache>
                <c:formatCode>General</c:formatCode>
                <c:ptCount val="1"/>
                <c:pt idx="0">
                  <c:v>15.6</c:v>
                </c:pt>
              </c:numCache>
            </c:numRef>
          </c:val>
          <c:smooth val="1"/>
          <c:extLst>
            <c:ext xmlns:c16="http://schemas.microsoft.com/office/drawing/2014/chart" uri="{C3380CC4-5D6E-409C-BE32-E72D297353CC}">
              <c16:uniqueId val="{00000001-6CF1-46A6-9CFF-5FF5E522C4F0}"/>
            </c:ext>
          </c:extLst>
        </c:ser>
        <c:ser>
          <c:idx val="2"/>
          <c:order val="2"/>
          <c:spPr>
            <a:ln w="28440">
              <a:solidFill>
                <a:srgbClr val="87A44B"/>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'⑥ Visualizations'!$B$34:$F$34</c:f>
              <c:strCache>
                <c:ptCount val="5"/>
                <c:pt idx="0">
                  <c:v>FY2020</c:v>
                </c:pt>
                <c:pt idx="1">
                  <c:v>FY2021</c:v>
                </c:pt>
                <c:pt idx="2">
                  <c:v>FY2022</c:v>
                </c:pt>
                <c:pt idx="3">
                  <c:v>FY2023</c:v>
                </c:pt>
                <c:pt idx="4">
                  <c:v>FY2024</c:v>
                </c:pt>
              </c:strCache>
            </c:strRef>
          </c:cat>
          <c:val>
            <c:numRef>
              <c:f>'⑥ Visualizations'!$D$35</c:f>
              <c:numCache>
                <c:formatCode>General</c:formatCode>
                <c:ptCount val="1"/>
                <c:pt idx="0">
                  <c:v>74.2</c:v>
                </c:pt>
              </c:numCache>
            </c:numRef>
          </c:val>
          <c:smooth val="1"/>
          <c:extLst>
            <c:ext xmlns:c16="http://schemas.microsoft.com/office/drawing/2014/chart" uri="{C3380CC4-5D6E-409C-BE32-E72D297353CC}">
              <c16:uniqueId val="{00000002-6CF1-46A6-9CFF-5FF5E522C4F0}"/>
            </c:ext>
          </c:extLst>
        </c:ser>
        <c:ser>
          <c:idx val="3"/>
          <c:order val="3"/>
          <c:spPr>
            <a:ln w="28440">
              <a:solidFill>
                <a:srgbClr val="6F568D"/>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'⑥ Visualizations'!$B$34:$F$34</c:f>
              <c:strCache>
                <c:ptCount val="5"/>
                <c:pt idx="0">
                  <c:v>FY2020</c:v>
                </c:pt>
                <c:pt idx="1">
                  <c:v>FY2021</c:v>
                </c:pt>
                <c:pt idx="2">
                  <c:v>FY2022</c:v>
                </c:pt>
                <c:pt idx="3">
                  <c:v>FY2023</c:v>
                </c:pt>
                <c:pt idx="4">
                  <c:v>FY2024</c:v>
                </c:pt>
              </c:strCache>
            </c:strRef>
          </c:cat>
          <c:val>
            <c:numRef>
              <c:f>'⑥ Visualizations'!$E$35</c:f>
              <c:numCache>
                <c:formatCode>General</c:formatCode>
                <c:ptCount val="1"/>
                <c:pt idx="0">
                  <c:v>112.8</c:v>
                </c:pt>
              </c:numCache>
            </c:numRef>
          </c:val>
          <c:smooth val="1"/>
          <c:extLst>
            <c:ext xmlns:c16="http://schemas.microsoft.com/office/drawing/2014/chart" uri="{C3380CC4-5D6E-409C-BE32-E72D297353CC}">
              <c16:uniqueId val="{00000003-6CF1-46A6-9CFF-5FF5E522C4F0}"/>
            </c:ext>
          </c:extLst>
        </c:ser>
        <c:ser>
          <c:idx val="4"/>
          <c:order val="4"/>
          <c:spPr>
            <a:ln w="28440">
              <a:solidFill>
                <a:srgbClr val="3D97AF"/>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'⑥ Visualizations'!$B$34:$F$34</c:f>
              <c:strCache>
                <c:ptCount val="5"/>
                <c:pt idx="0">
                  <c:v>FY2020</c:v>
                </c:pt>
                <c:pt idx="1">
                  <c:v>FY2021</c:v>
                </c:pt>
                <c:pt idx="2">
                  <c:v>FY2022</c:v>
                </c:pt>
                <c:pt idx="3">
                  <c:v>FY2023</c:v>
                </c:pt>
                <c:pt idx="4">
                  <c:v>FY2024</c:v>
                </c:pt>
              </c:strCache>
            </c:strRef>
          </c:cat>
          <c:val>
            <c:numRef>
              <c:f>'⑥ Visualizations'!$F$35</c:f>
              <c:numCache>
                <c:formatCode>General</c:formatCode>
                <c:ptCount val="1"/>
                <c:pt idx="0">
                  <c:v>158.30000000000001</c:v>
                </c:pt>
              </c:numCache>
            </c:numRef>
          </c:val>
          <c:smooth val="1"/>
          <c:extLst>
            <c:ext xmlns:c16="http://schemas.microsoft.com/office/drawing/2014/chart" uri="{C3380CC4-5D6E-409C-BE32-E72D297353CC}">
              <c16:uniqueId val="{00000004-6CF1-46A6-9CFF-5FF5E522C4F0}"/>
            </c:ext>
          </c:extLst>
        </c:ser>
        <c:ser>
          <c:idx val="5"/>
          <c:order val="5"/>
          <c:spPr>
            <a:ln w="28440">
              <a:solidFill>
                <a:srgbClr val="DB8238"/>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'⑥ Visualizations'!$B$34:$F$34</c:f>
              <c:strCache>
                <c:ptCount val="5"/>
                <c:pt idx="0">
                  <c:v>FY2020</c:v>
                </c:pt>
                <c:pt idx="1">
                  <c:v>FY2021</c:v>
                </c:pt>
                <c:pt idx="2">
                  <c:v>FY2022</c:v>
                </c:pt>
                <c:pt idx="3">
                  <c:v>FY2023</c:v>
                </c:pt>
                <c:pt idx="4">
                  <c:v>FY2024</c:v>
                </c:pt>
              </c:strCache>
            </c:strRef>
          </c:cat>
          <c:val>
            <c:numRef>
              <c:f>'⑥ Visualizations'!$B$36</c:f>
              <c:numCache>
                <c:formatCode>General</c:formatCode>
                <c:ptCount val="1"/>
                <c:pt idx="0">
                  <c:v>19.600000000000001</c:v>
                </c:pt>
              </c:numCache>
            </c:numRef>
          </c:val>
          <c:smooth val="1"/>
          <c:extLst>
            <c:ext xmlns:c16="http://schemas.microsoft.com/office/drawing/2014/chart" uri="{C3380CC4-5D6E-409C-BE32-E72D297353CC}">
              <c16:uniqueId val="{00000005-6CF1-46A6-9CFF-5FF5E522C4F0}"/>
            </c:ext>
          </c:extLst>
        </c:ser>
        <c:ser>
          <c:idx val="6"/>
          <c:order val="6"/>
          <c:spPr>
            <a:ln w="28440">
              <a:solidFill>
                <a:srgbClr val="8EA5CA"/>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'⑥ Visualizations'!$B$34:$F$34</c:f>
              <c:strCache>
                <c:ptCount val="5"/>
                <c:pt idx="0">
                  <c:v>FY2020</c:v>
                </c:pt>
                <c:pt idx="1">
                  <c:v>FY2021</c:v>
                </c:pt>
                <c:pt idx="2">
                  <c:v>FY2022</c:v>
                </c:pt>
                <c:pt idx="3">
                  <c:v>FY2023</c:v>
                </c:pt>
                <c:pt idx="4">
                  <c:v>FY2024</c:v>
                </c:pt>
              </c:strCache>
            </c:strRef>
          </c:cat>
          <c:val>
            <c:numRef>
              <c:f>'⑥ Visualizations'!$C$36</c:f>
              <c:numCache>
                <c:formatCode>General</c:formatCode>
                <c:ptCount val="1"/>
                <c:pt idx="0">
                  <c:v>13.8</c:v>
                </c:pt>
              </c:numCache>
            </c:numRef>
          </c:val>
          <c:smooth val="1"/>
          <c:extLst>
            <c:ext xmlns:c16="http://schemas.microsoft.com/office/drawing/2014/chart" uri="{C3380CC4-5D6E-409C-BE32-E72D297353CC}">
              <c16:uniqueId val="{00000006-6CF1-46A6-9CFF-5FF5E522C4F0}"/>
            </c:ext>
          </c:extLst>
        </c:ser>
        <c:ser>
          <c:idx val="7"/>
          <c:order val="7"/>
          <c:spPr>
            <a:ln w="28440">
              <a:solidFill>
                <a:srgbClr val="CC8F8E"/>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'⑥ Visualizations'!$B$34:$F$34</c:f>
              <c:strCache>
                <c:ptCount val="5"/>
                <c:pt idx="0">
                  <c:v>FY2020</c:v>
                </c:pt>
                <c:pt idx="1">
                  <c:v>FY2021</c:v>
                </c:pt>
                <c:pt idx="2">
                  <c:v>FY2022</c:v>
                </c:pt>
                <c:pt idx="3">
                  <c:v>FY2023</c:v>
                </c:pt>
                <c:pt idx="4">
                  <c:v>FY2024</c:v>
                </c:pt>
              </c:strCache>
            </c:strRef>
          </c:cat>
          <c:val>
            <c:numRef>
              <c:f>'⑥ Visualizations'!$D$36</c:f>
              <c:numCache>
                <c:formatCode>General</c:formatCode>
                <c:ptCount val="1"/>
                <c:pt idx="0">
                  <c:v>71.3</c:v>
                </c:pt>
              </c:numCache>
            </c:numRef>
          </c:val>
          <c:smooth val="1"/>
          <c:extLst>
            <c:ext xmlns:c16="http://schemas.microsoft.com/office/drawing/2014/chart" uri="{C3380CC4-5D6E-409C-BE32-E72D297353CC}">
              <c16:uniqueId val="{00000007-6CF1-46A6-9CFF-5FF5E522C4F0}"/>
            </c:ext>
          </c:extLst>
        </c:ser>
        <c:ser>
          <c:idx val="8"/>
          <c:order val="8"/>
          <c:spPr>
            <a:ln w="28440">
              <a:solidFill>
                <a:srgbClr val="B3C992"/>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'⑥ Visualizations'!$B$34:$F$34</c:f>
              <c:strCache>
                <c:ptCount val="5"/>
                <c:pt idx="0">
                  <c:v>FY2020</c:v>
                </c:pt>
                <c:pt idx="1">
                  <c:v>FY2021</c:v>
                </c:pt>
                <c:pt idx="2">
                  <c:v>FY2022</c:v>
                </c:pt>
                <c:pt idx="3">
                  <c:v>FY2023</c:v>
                </c:pt>
                <c:pt idx="4">
                  <c:v>FY2024</c:v>
                </c:pt>
              </c:strCache>
            </c:strRef>
          </c:cat>
          <c:val>
            <c:numRef>
              <c:f>'⑥ Visualizations'!$E$36</c:f>
              <c:numCache>
                <c:formatCode>General</c:formatCode>
                <c:ptCount val="1"/>
                <c:pt idx="0">
                  <c:v>110.7</c:v>
                </c:pt>
              </c:numCache>
            </c:numRef>
          </c:val>
          <c:smooth val="1"/>
          <c:extLst>
            <c:ext xmlns:c16="http://schemas.microsoft.com/office/drawing/2014/chart" uri="{C3380CC4-5D6E-409C-BE32-E72D297353CC}">
              <c16:uniqueId val="{00000008-6CF1-46A6-9CFF-5FF5E522C4F0}"/>
            </c:ext>
          </c:extLst>
        </c:ser>
        <c:ser>
          <c:idx val="9"/>
          <c:order val="9"/>
          <c:spPr>
            <a:ln w="28440">
              <a:solidFill>
                <a:srgbClr val="A596B9"/>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'⑥ Visualizations'!$B$34:$F$34</c:f>
              <c:strCache>
                <c:ptCount val="5"/>
                <c:pt idx="0">
                  <c:v>FY2020</c:v>
                </c:pt>
                <c:pt idx="1">
                  <c:v>FY2021</c:v>
                </c:pt>
                <c:pt idx="2">
                  <c:v>FY2022</c:v>
                </c:pt>
                <c:pt idx="3">
                  <c:v>FY2023</c:v>
                </c:pt>
                <c:pt idx="4">
                  <c:v>FY2024</c:v>
                </c:pt>
              </c:strCache>
            </c:strRef>
          </c:cat>
          <c:val>
            <c:numRef>
              <c:f>'⑥ Visualizations'!$F$36</c:f>
              <c:numCache>
                <c:formatCode>General</c:formatCode>
                <c:ptCount val="1"/>
                <c:pt idx="0">
                  <c:v>154.5</c:v>
                </c:pt>
              </c:numCache>
            </c:numRef>
          </c:val>
          <c:smooth val="1"/>
          <c:extLst>
            <c:ext xmlns:c16="http://schemas.microsoft.com/office/drawing/2014/chart" uri="{C3380CC4-5D6E-409C-BE32-E72D297353CC}">
              <c16:uniqueId val="{00000009-6CF1-46A6-9CFF-5FF5E522C4F0}"/>
            </c:ext>
          </c:extLst>
        </c:ser>
        <c:dLbls>
          <c:showLegendKey val="0"/>
          <c:showVal val="0"/>
          <c:showCatName val="0"/>
          <c:showSerName val="0"/>
          <c:showPercent val="0"/>
          <c:showBubbleSize val="0"/>
        </c:dLbls>
        <c:hiLowLines>
          <c:spPr>
            <a:ln w="0">
              <a:noFill/>
              <a:prstDash val="solid"/>
            </a:ln>
          </c:spPr>
        </c:hiLowLines>
        <c:marker val="1"/>
        <c:smooth val="0"/>
        <c:axId val="59872591"/>
        <c:axId val="64750220"/>
      </c:lineChart>
      <c:catAx>
        <c:axId val="59872591"/>
        <c:scaling>
          <c:orientation val="minMax"/>
        </c:scaling>
        <c:delete val="1"/>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Fiscal Year</a:t>
                </a:r>
              </a:p>
            </c:rich>
          </c:tx>
          <c:overlay val="0"/>
          <c:spPr>
            <a:noFill/>
            <a:ln w="0">
              <a:noFill/>
              <a:prstDash val="solid"/>
            </a:ln>
          </c:spPr>
        </c:title>
        <c:numFmt formatCode="General" sourceLinked="1"/>
        <c:majorTickMark val="none"/>
        <c:minorTickMark val="none"/>
        <c:tickLblPos val="nextTo"/>
        <c:crossAx val="64750220"/>
        <c:crosses val="autoZero"/>
        <c:auto val="1"/>
        <c:lblAlgn val="ctr"/>
        <c:lblOffset val="100"/>
        <c:noMultiLvlLbl val="0"/>
      </c:catAx>
      <c:valAx>
        <c:axId val="64750220"/>
        <c:scaling>
          <c:orientation val="minMax"/>
        </c:scaling>
        <c:delete val="1"/>
        <c:axPos val="l"/>
        <c:majorGridlines>
          <c:spPr>
            <a:ln w="9360">
              <a:solidFill>
                <a:srgbClr val="878787"/>
              </a:solidFill>
              <a:prstDash val="solid"/>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INR Crores</a:t>
                </a:r>
              </a:p>
            </c:rich>
          </c:tx>
          <c:overlay val="0"/>
          <c:spPr>
            <a:noFill/>
            <a:ln w="0">
              <a:noFill/>
              <a:prstDash val="solid"/>
            </a:ln>
          </c:spPr>
        </c:title>
        <c:numFmt formatCode="General" sourceLinked="1"/>
        <c:majorTickMark val="none"/>
        <c:minorTickMark val="none"/>
        <c:tickLblPos val="nextTo"/>
        <c:crossAx val="59872591"/>
        <c:crosses val="autoZero"/>
        <c:crossBetween val="between"/>
      </c:valAx>
    </c:plotArea>
    <c:legend>
      <c:legendPos val="r"/>
      <c:overlay val="1"/>
      <c:spPr>
        <a:noFill/>
        <a:ln w="0">
          <a:noFill/>
          <a:prstDash val="solid"/>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2</xdr:row>
      <xdr:rowOff>0</xdr:rowOff>
    </xdr:from>
    <xdr:to>
      <xdr:col>16</xdr:col>
      <xdr:colOff>255600</xdr:colOff>
      <xdr:row>21</xdr:row>
      <xdr:rowOff>160920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22</xdr:col>
      <xdr:colOff>0</xdr:colOff>
      <xdr:row>2</xdr:row>
      <xdr:rowOff>0</xdr:rowOff>
    </xdr:from>
    <xdr:to>
      <xdr:col>31</xdr:col>
      <xdr:colOff>255960</xdr:colOff>
      <xdr:row>21</xdr:row>
      <xdr:rowOff>160920</xdr:rowOff>
    </xdr:to>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0</xdr:colOff>
      <xdr:row>23</xdr:row>
      <xdr:rowOff>0</xdr:rowOff>
    </xdr:from>
    <xdr:to>
      <xdr:col>16</xdr:col>
      <xdr:colOff>255600</xdr:colOff>
      <xdr:row>42</xdr:row>
      <xdr:rowOff>160920</xdr:rowOff>
    </xdr:to>
    <xdr:graphicFrame macro="">
      <xdr:nvGraphicFramePr>
        <xdr:cNvPr id="4" name="Chart 3">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22</xdr:col>
      <xdr:colOff>0</xdr:colOff>
      <xdr:row>23</xdr:row>
      <xdr:rowOff>0</xdr:rowOff>
    </xdr:from>
    <xdr:to>
      <xdr:col>31</xdr:col>
      <xdr:colOff>255960</xdr:colOff>
      <xdr:row>42</xdr:row>
      <xdr:rowOff>160920</xdr:rowOff>
    </xdr:to>
    <xdr:graphicFrame macro="">
      <xdr:nvGraphicFramePr>
        <xdr:cNvPr id="5" name="Chart 4">
          <a:extLst>
            <a:ext uri="{FF2B5EF4-FFF2-40B4-BE49-F238E27FC236}">
              <a16:creationId xmlns:a16="http://schemas.microsoft.com/office/drawing/2014/main" id="{00000000-0008-0000-04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xdr:col>
      <xdr:colOff>0</xdr:colOff>
      <xdr:row>44</xdr:row>
      <xdr:rowOff>0</xdr:rowOff>
    </xdr:from>
    <xdr:to>
      <xdr:col>16</xdr:col>
      <xdr:colOff>255600</xdr:colOff>
      <xdr:row>63</xdr:row>
      <xdr:rowOff>160560</xdr:rowOff>
    </xdr:to>
    <xdr:graphicFrame macro="">
      <xdr:nvGraphicFramePr>
        <xdr:cNvPr id="6" name="Chart 5">
          <a:extLst>
            <a:ext uri="{FF2B5EF4-FFF2-40B4-BE49-F238E27FC236}">
              <a16:creationId xmlns:a16="http://schemas.microsoft.com/office/drawing/2014/main" id="{00000000-0008-0000-04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22</xdr:col>
      <xdr:colOff>0</xdr:colOff>
      <xdr:row>44</xdr:row>
      <xdr:rowOff>0</xdr:rowOff>
    </xdr:from>
    <xdr:to>
      <xdr:col>31</xdr:col>
      <xdr:colOff>255960</xdr:colOff>
      <xdr:row>63</xdr:row>
      <xdr:rowOff>160560</xdr:rowOff>
    </xdr:to>
    <xdr:graphicFrame macro="">
      <xdr:nvGraphicFramePr>
        <xdr:cNvPr id="7" name="Chart 6">
          <a:extLst>
            <a:ext uri="{FF2B5EF4-FFF2-40B4-BE49-F238E27FC236}">
              <a16:creationId xmlns:a16="http://schemas.microsoft.com/office/drawing/2014/main" id="{00000000-0008-0000-04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7</xdr:col>
      <xdr:colOff>0</xdr:colOff>
      <xdr:row>65</xdr:row>
      <xdr:rowOff>0</xdr:rowOff>
    </xdr:from>
    <xdr:to>
      <xdr:col>16</xdr:col>
      <xdr:colOff>255600</xdr:colOff>
      <xdr:row>84</xdr:row>
      <xdr:rowOff>160560</xdr:rowOff>
    </xdr:to>
    <xdr:graphicFrame macro="">
      <xdr:nvGraphicFramePr>
        <xdr:cNvPr id="8" name="Chart 7">
          <a:extLst>
            <a:ext uri="{FF2B5EF4-FFF2-40B4-BE49-F238E27FC236}">
              <a16:creationId xmlns:a16="http://schemas.microsoft.com/office/drawing/2014/main" id="{00000000-0008-0000-04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22</xdr:col>
      <xdr:colOff>0</xdr:colOff>
      <xdr:row>65</xdr:row>
      <xdr:rowOff>0</xdr:rowOff>
    </xdr:from>
    <xdr:to>
      <xdr:col>31</xdr:col>
      <xdr:colOff>255960</xdr:colOff>
      <xdr:row>84</xdr:row>
      <xdr:rowOff>160560</xdr:rowOff>
    </xdr:to>
    <xdr:graphicFrame macro="">
      <xdr:nvGraphicFramePr>
        <xdr:cNvPr id="9" name="Chart 8">
          <a:extLst>
            <a:ext uri="{FF2B5EF4-FFF2-40B4-BE49-F238E27FC236}">
              <a16:creationId xmlns:a16="http://schemas.microsoft.com/office/drawing/2014/main" id="{00000000-0008-0000-04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D600"/>
  </sheetPr>
  <dimension ref="A1:J17"/>
  <sheetViews>
    <sheetView showGridLines="0" zoomScaleNormal="100" workbookViewId="0"/>
  </sheetViews>
  <sheetFormatPr defaultColWidth="8.6640625" defaultRowHeight="14.4" x14ac:dyDescent="0.3"/>
  <cols>
    <col min="1" max="1" width="2" customWidth="1"/>
    <col min="2" max="2" width="22" customWidth="1"/>
    <col min="3" max="3" width="18" customWidth="1"/>
    <col min="4" max="4" width="22" customWidth="1"/>
    <col min="5" max="5" width="18" customWidth="1"/>
    <col min="6" max="6" width="22" customWidth="1"/>
    <col min="7" max="7" width="18" customWidth="1"/>
    <col min="8" max="8" width="22" customWidth="1"/>
    <col min="9" max="9" width="18" customWidth="1"/>
    <col min="10" max="10" width="2" customWidth="1"/>
  </cols>
  <sheetData>
    <row r="1" spans="1:10" ht="21.75" customHeight="1" x14ac:dyDescent="0.3">
      <c r="A1" s="115" t="s">
        <v>110</v>
      </c>
      <c r="B1" s="97"/>
      <c r="C1" s="97"/>
      <c r="D1" s="97"/>
      <c r="E1" s="97"/>
      <c r="F1" s="97"/>
      <c r="G1" s="97"/>
      <c r="H1" s="97"/>
      <c r="I1" s="97"/>
      <c r="J1" s="97"/>
    </row>
    <row r="2" spans="1:10" ht="21.75" customHeight="1" x14ac:dyDescent="0.3">
      <c r="A2" s="97"/>
      <c r="B2" s="97"/>
      <c r="C2" s="97"/>
      <c r="D2" s="97"/>
      <c r="E2" s="97"/>
      <c r="F2" s="97"/>
      <c r="G2" s="97"/>
      <c r="H2" s="97"/>
      <c r="I2" s="97"/>
      <c r="J2" s="97"/>
    </row>
    <row r="3" spans="1:10" ht="21.75" customHeight="1" x14ac:dyDescent="0.3">
      <c r="A3" s="97"/>
      <c r="B3" s="97"/>
      <c r="C3" s="97"/>
      <c r="D3" s="97"/>
      <c r="E3" s="97"/>
      <c r="F3" s="97"/>
      <c r="G3" s="97"/>
      <c r="H3" s="97"/>
      <c r="I3" s="97"/>
      <c r="J3" s="97"/>
    </row>
    <row r="4" spans="1:10" ht="21.75" customHeight="1" x14ac:dyDescent="0.3">
      <c r="A4" s="97"/>
      <c r="B4" s="97"/>
      <c r="C4" s="97"/>
      <c r="D4" s="97"/>
      <c r="E4" s="97"/>
      <c r="F4" s="97"/>
      <c r="G4" s="97"/>
      <c r="H4" s="97"/>
      <c r="I4" s="97"/>
      <c r="J4" s="97"/>
    </row>
    <row r="5" spans="1:10" ht="19.5" customHeight="1" x14ac:dyDescent="0.3">
      <c r="A5" s="108" t="s">
        <v>111</v>
      </c>
      <c r="B5" s="97"/>
      <c r="C5" s="97"/>
      <c r="D5" s="97"/>
      <c r="E5" s="97"/>
      <c r="F5" s="97"/>
      <c r="G5" s="97"/>
      <c r="H5" s="97"/>
      <c r="I5" s="97"/>
      <c r="J5" s="97"/>
    </row>
    <row r="6" spans="1:10" ht="9.75" customHeight="1" x14ac:dyDescent="0.3"/>
    <row r="7" spans="1:10" ht="21.75" customHeight="1" x14ac:dyDescent="0.3">
      <c r="B7" s="116" t="s">
        <v>112</v>
      </c>
      <c r="C7" s="105"/>
      <c r="D7" s="106"/>
      <c r="E7" s="110" t="s">
        <v>113</v>
      </c>
      <c r="F7" s="105"/>
      <c r="G7" s="105"/>
      <c r="H7" s="105"/>
      <c r="I7" s="106"/>
    </row>
    <row r="8" spans="1:10" ht="21.75" customHeight="1" x14ac:dyDescent="0.3">
      <c r="B8" s="112" t="s">
        <v>114</v>
      </c>
      <c r="C8" s="105"/>
      <c r="D8" s="106"/>
      <c r="E8" s="110" t="s">
        <v>115</v>
      </c>
      <c r="F8" s="105"/>
      <c r="G8" s="105"/>
      <c r="H8" s="105"/>
      <c r="I8" s="106"/>
    </row>
    <row r="9" spans="1:10" ht="21.75" customHeight="1" x14ac:dyDescent="0.3">
      <c r="B9" s="113" t="s">
        <v>116</v>
      </c>
      <c r="C9" s="105"/>
      <c r="D9" s="106"/>
      <c r="E9" s="110" t="s">
        <v>117</v>
      </c>
      <c r="F9" s="105"/>
      <c r="G9" s="105"/>
      <c r="H9" s="105"/>
      <c r="I9" s="106"/>
    </row>
    <row r="10" spans="1:10" ht="21.75" customHeight="1" x14ac:dyDescent="0.3">
      <c r="B10" s="104" t="s">
        <v>118</v>
      </c>
      <c r="C10" s="105"/>
      <c r="D10" s="106"/>
      <c r="E10" s="110" t="s">
        <v>119</v>
      </c>
      <c r="F10" s="105"/>
      <c r="G10" s="105"/>
      <c r="H10" s="105"/>
      <c r="I10" s="106"/>
    </row>
    <row r="11" spans="1:10" ht="22.05" customHeight="1" x14ac:dyDescent="0.3">
      <c r="B11" s="107" t="s">
        <v>120</v>
      </c>
      <c r="C11" s="105"/>
      <c r="D11" s="106"/>
      <c r="E11" s="109" t="s">
        <v>121</v>
      </c>
      <c r="F11" s="105"/>
      <c r="G11" s="105"/>
      <c r="H11" s="105"/>
      <c r="I11" s="106"/>
    </row>
    <row r="12" spans="1:10" ht="22.05" customHeight="1" x14ac:dyDescent="0.3">
      <c r="B12" s="114" t="s">
        <v>122</v>
      </c>
      <c r="C12" s="105"/>
      <c r="D12" s="106"/>
      <c r="E12" s="109" t="s">
        <v>123</v>
      </c>
      <c r="F12" s="105"/>
      <c r="G12" s="105"/>
      <c r="H12" s="105"/>
      <c r="I12" s="106"/>
    </row>
    <row r="14" spans="1:10" ht="9.75" customHeight="1" x14ac:dyDescent="0.3"/>
    <row r="15" spans="1:10" ht="19.5" customHeight="1" x14ac:dyDescent="0.3">
      <c r="B15" s="111" t="s">
        <v>124</v>
      </c>
      <c r="C15" s="97"/>
      <c r="D15" s="97"/>
      <c r="E15" s="97"/>
      <c r="F15" s="97"/>
      <c r="G15" s="97"/>
      <c r="H15" s="97"/>
      <c r="I15" s="97"/>
    </row>
    <row r="16" spans="1:10" ht="18" customHeight="1" x14ac:dyDescent="0.3">
      <c r="B16" s="1" t="s">
        <v>125</v>
      </c>
      <c r="C16" s="1" t="s">
        <v>126</v>
      </c>
      <c r="D16" s="1" t="s">
        <v>127</v>
      </c>
      <c r="E16" s="1" t="s">
        <v>128</v>
      </c>
      <c r="F16" s="1" t="s">
        <v>129</v>
      </c>
      <c r="G16" s="1" t="s">
        <v>130</v>
      </c>
      <c r="H16" s="1" t="s">
        <v>131</v>
      </c>
      <c r="I16" s="1" t="s">
        <v>132</v>
      </c>
    </row>
    <row r="17" spans="2:9" ht="24.75" customHeight="1" x14ac:dyDescent="0.3">
      <c r="B17" s="2" t="s">
        <v>133</v>
      </c>
      <c r="C17" s="2" t="s">
        <v>134</v>
      </c>
      <c r="D17" s="2" t="s">
        <v>135</v>
      </c>
      <c r="E17" s="2" t="s">
        <v>136</v>
      </c>
      <c r="F17" s="2" t="s">
        <v>137</v>
      </c>
      <c r="G17" s="2" t="s">
        <v>138</v>
      </c>
      <c r="H17" s="2" t="s">
        <v>139</v>
      </c>
      <c r="I17" s="2" t="s">
        <v>140</v>
      </c>
    </row>
  </sheetData>
  <mergeCells count="15">
    <mergeCell ref="A1:J4"/>
    <mergeCell ref="B7:D7"/>
    <mergeCell ref="E9:I9"/>
    <mergeCell ref="B15:I15"/>
    <mergeCell ref="B8:D8"/>
    <mergeCell ref="E10:I10"/>
    <mergeCell ref="B9:D9"/>
    <mergeCell ref="E11:I11"/>
    <mergeCell ref="B12:D12"/>
    <mergeCell ref="E8:I8"/>
    <mergeCell ref="B10:D10"/>
    <mergeCell ref="B11:D11"/>
    <mergeCell ref="A5:J5"/>
    <mergeCell ref="E12:I12"/>
    <mergeCell ref="E7:I7"/>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E65100"/>
  </sheetPr>
  <dimension ref="B1:H80"/>
  <sheetViews>
    <sheetView showGridLines="0" zoomScaleNormal="100" workbookViewId="0">
      <selection activeCell="I10" sqref="I10"/>
    </sheetView>
  </sheetViews>
  <sheetFormatPr defaultColWidth="8.6640625" defaultRowHeight="14.4" x14ac:dyDescent="0.3"/>
  <cols>
    <col min="1" max="1" width="3" customWidth="1"/>
    <col min="2" max="2" width="42" customWidth="1"/>
    <col min="3" max="8" width="14" customWidth="1"/>
    <col min="9" max="9" width="30" customWidth="1"/>
  </cols>
  <sheetData>
    <row r="1" spans="2:8" ht="19.5" customHeight="1" x14ac:dyDescent="0.3">
      <c r="B1" s="99" t="s">
        <v>141</v>
      </c>
      <c r="C1" s="97"/>
      <c r="D1" s="97"/>
      <c r="E1" s="97"/>
      <c r="F1" s="97"/>
      <c r="G1" s="97"/>
      <c r="H1" s="97"/>
    </row>
    <row r="2" spans="2:8" ht="19.5" customHeight="1" x14ac:dyDescent="0.3">
      <c r="B2" s="97"/>
      <c r="C2" s="97"/>
      <c r="D2" s="97"/>
      <c r="E2" s="97"/>
      <c r="F2" s="97"/>
      <c r="G2" s="97"/>
      <c r="H2" s="97"/>
    </row>
    <row r="3" spans="2:8" ht="15.75" customHeight="1" x14ac:dyDescent="0.3">
      <c r="B3" s="100" t="s">
        <v>142</v>
      </c>
      <c r="C3" s="97"/>
      <c r="D3" s="97"/>
      <c r="E3" s="97"/>
      <c r="F3" s="97"/>
      <c r="G3" s="97"/>
    </row>
    <row r="4" spans="2:8" ht="15.75" customHeight="1" x14ac:dyDescent="0.3">
      <c r="B4" s="3" t="s">
        <v>143</v>
      </c>
      <c r="C4" s="4" t="s">
        <v>4</v>
      </c>
      <c r="D4" s="4" t="s">
        <v>5</v>
      </c>
      <c r="E4" s="4" t="s">
        <v>6</v>
      </c>
      <c r="F4" s="4" t="s">
        <v>7</v>
      </c>
      <c r="G4" s="4" t="s">
        <v>8</v>
      </c>
    </row>
    <row r="5" spans="2:8" ht="15.75" customHeight="1" x14ac:dyDescent="0.3">
      <c r="B5" s="5" t="s">
        <v>144</v>
      </c>
      <c r="C5" s="6">
        <v>8788</v>
      </c>
      <c r="D5" s="6">
        <v>5249</v>
      </c>
      <c r="E5" s="6">
        <v>8136</v>
      </c>
      <c r="F5" s="6">
        <v>12418</v>
      </c>
      <c r="G5" s="6">
        <v>6441</v>
      </c>
    </row>
    <row r="6" spans="2:8" ht="15.75" customHeight="1" x14ac:dyDescent="0.3">
      <c r="B6" s="7" t="s">
        <v>145</v>
      </c>
      <c r="C6" s="8">
        <v>63</v>
      </c>
      <c r="D6" s="8">
        <v>73</v>
      </c>
      <c r="E6" s="8">
        <v>103</v>
      </c>
      <c r="F6" s="8">
        <v>123</v>
      </c>
      <c r="G6" s="8">
        <v>319</v>
      </c>
    </row>
    <row r="7" spans="2:8" ht="15.75" customHeight="1" x14ac:dyDescent="0.3">
      <c r="B7" s="5" t="s">
        <v>146</v>
      </c>
      <c r="C7" s="6">
        <f>C5+C6</f>
        <v>8851</v>
      </c>
      <c r="D7" s="6">
        <f>D5+D6</f>
        <v>5322</v>
      </c>
      <c r="E7" s="6">
        <f>E5+E6</f>
        <v>8239</v>
      </c>
      <c r="F7" s="6">
        <f>F5+F6</f>
        <v>12541</v>
      </c>
      <c r="G7" s="6">
        <f>G5+G6</f>
        <v>6760</v>
      </c>
    </row>
    <row r="8" spans="2:8" ht="15.75" customHeight="1" x14ac:dyDescent="0.3">
      <c r="B8" s="5" t="s">
        <v>147</v>
      </c>
      <c r="C8" s="6">
        <v>3490</v>
      </c>
      <c r="D8" s="6">
        <v>2158</v>
      </c>
      <c r="E8" s="6">
        <v>3862</v>
      </c>
      <c r="F8" s="6">
        <v>5340</v>
      </c>
      <c r="G8" s="6">
        <v>2610</v>
      </c>
    </row>
    <row r="9" spans="2:8" ht="15.75" customHeight="1" x14ac:dyDescent="0.3">
      <c r="B9" s="9" t="s">
        <v>148</v>
      </c>
      <c r="C9" s="10">
        <v>1180</v>
      </c>
      <c r="D9" s="10">
        <v>892</v>
      </c>
      <c r="E9" s="10">
        <v>1100</v>
      </c>
      <c r="F9" s="10">
        <v>1560</v>
      </c>
      <c r="G9" s="10">
        <v>890</v>
      </c>
    </row>
    <row r="10" spans="2:8" ht="15.75" customHeight="1" x14ac:dyDescent="0.3">
      <c r="B10" s="5" t="s">
        <v>149</v>
      </c>
      <c r="C10" s="6">
        <v>469</v>
      </c>
      <c r="D10" s="6">
        <v>530</v>
      </c>
      <c r="E10" s="6">
        <v>389</v>
      </c>
      <c r="F10" s="6">
        <v>536</v>
      </c>
      <c r="G10" s="6">
        <v>588</v>
      </c>
    </row>
    <row r="11" spans="2:8" ht="15.75" customHeight="1" x14ac:dyDescent="0.3">
      <c r="B11" s="9" t="s">
        <v>150</v>
      </c>
      <c r="C11" s="10">
        <v>885</v>
      </c>
      <c r="D11" s="10">
        <v>963</v>
      </c>
      <c r="E11" s="10">
        <v>997</v>
      </c>
      <c r="F11" s="10">
        <v>1227</v>
      </c>
      <c r="G11" s="10">
        <v>1017</v>
      </c>
    </row>
    <row r="12" spans="2:8" ht="15.75" customHeight="1" x14ac:dyDescent="0.3">
      <c r="B12" s="5" t="s">
        <v>151</v>
      </c>
      <c r="C12" s="6">
        <v>2389</v>
      </c>
      <c r="D12" s="6">
        <v>1083</v>
      </c>
      <c r="E12" s="6">
        <v>2039</v>
      </c>
      <c r="F12" s="6">
        <v>3197</v>
      </c>
      <c r="G12" s="6">
        <v>1928</v>
      </c>
    </row>
    <row r="13" spans="2:8" ht="15.75" customHeight="1" x14ac:dyDescent="0.3">
      <c r="B13" s="9" t="s">
        <v>152</v>
      </c>
      <c r="C13" s="10">
        <f>C8+C9+C10+C11+C12</f>
        <v>8413</v>
      </c>
      <c r="D13" s="10">
        <f>D8+D9+D10+D11+D12</f>
        <v>5626</v>
      </c>
      <c r="E13" s="10">
        <f>E8+E9+E10+E11+E12</f>
        <v>8387</v>
      </c>
      <c r="F13" s="10">
        <f>F8+F9+F10+F11+F12</f>
        <v>11860</v>
      </c>
      <c r="G13" s="10">
        <f>G8+G9+G10+G11+G12</f>
        <v>7033</v>
      </c>
    </row>
    <row r="14" spans="2:8" x14ac:dyDescent="0.3">
      <c r="B14" s="5" t="s">
        <v>153</v>
      </c>
      <c r="C14" s="6">
        <f>C7-C6-C10-C11</f>
        <v>7434</v>
      </c>
      <c r="D14" s="6">
        <f>D7-D6-D10-D11</f>
        <v>3756</v>
      </c>
      <c r="E14" s="6">
        <f>E7-E6-E10-E11</f>
        <v>6750</v>
      </c>
      <c r="F14" s="6">
        <f>F7-F6-F10-F11</f>
        <v>10655</v>
      </c>
      <c r="G14" s="6">
        <f>G7-G6-G10-G11</f>
        <v>4836</v>
      </c>
    </row>
    <row r="15" spans="2:8" ht="19.5" customHeight="1" x14ac:dyDescent="0.3">
      <c r="B15" s="5" t="s">
        <v>154</v>
      </c>
      <c r="C15" s="6">
        <f>IF(C5=0,0,C14/C5)</f>
        <v>0.84592626308602636</v>
      </c>
      <c r="D15" s="6">
        <f>IF(D5=0,0,D14/D5)</f>
        <v>0.71556486949895215</v>
      </c>
      <c r="E15" s="6">
        <f>IF(E5=0,0,E14/E5)</f>
        <v>0.82964601769911506</v>
      </c>
      <c r="F15" s="6">
        <f>IF(F5=0,0,F14/F5)</f>
        <v>0.8580286680624899</v>
      </c>
      <c r="G15" s="6">
        <f>IF(G5=0,0,G14/G5)</f>
        <v>0.75081509082440612</v>
      </c>
      <c r="H15" s="11"/>
    </row>
    <row r="16" spans="2:8" ht="18" customHeight="1" x14ac:dyDescent="0.3">
      <c r="B16" s="7" t="s">
        <v>155</v>
      </c>
      <c r="C16" s="8">
        <f>C14-C11</f>
        <v>6549</v>
      </c>
      <c r="D16" s="8">
        <f>D14-D11</f>
        <v>2793</v>
      </c>
      <c r="E16" s="8">
        <f>E14-E11</f>
        <v>5753</v>
      </c>
      <c r="F16" s="8">
        <f>F14-F11</f>
        <v>9428</v>
      </c>
      <c r="G16" s="8">
        <f>G14-G11</f>
        <v>3819</v>
      </c>
    </row>
    <row r="17" spans="2:8" ht="15.75" customHeight="1" x14ac:dyDescent="0.3">
      <c r="B17" s="5" t="s">
        <v>156</v>
      </c>
      <c r="C17" s="6">
        <f>C7-C13</f>
        <v>438</v>
      </c>
      <c r="D17" s="6">
        <f>D7-D13</f>
        <v>-304</v>
      </c>
      <c r="E17" s="6">
        <f>E7-E13</f>
        <v>-148</v>
      </c>
      <c r="F17" s="6">
        <f>F7-F13</f>
        <v>681</v>
      </c>
      <c r="G17" s="6">
        <f>G7-G13</f>
        <v>-273</v>
      </c>
    </row>
    <row r="18" spans="2:8" ht="15.75" customHeight="1" x14ac:dyDescent="0.3">
      <c r="B18" s="5" t="s">
        <v>157</v>
      </c>
      <c r="C18" s="6">
        <v>133</v>
      </c>
      <c r="D18" s="6">
        <v>-88</v>
      </c>
      <c r="E18" s="6">
        <v>-22</v>
      </c>
      <c r="F18" s="6">
        <v>-23</v>
      </c>
      <c r="G18" s="6">
        <v>-141</v>
      </c>
    </row>
    <row r="19" spans="2:8" ht="15.75" customHeight="1" x14ac:dyDescent="0.3">
      <c r="B19" s="9" t="s">
        <v>158</v>
      </c>
      <c r="C19" s="10">
        <f>C17-C18</f>
        <v>305</v>
      </c>
      <c r="D19" s="10">
        <f>D17-D18</f>
        <v>-216</v>
      </c>
      <c r="E19" s="10">
        <f>E17-E18</f>
        <v>-126</v>
      </c>
      <c r="F19" s="10">
        <f>F17-F18</f>
        <v>704</v>
      </c>
      <c r="G19" s="10">
        <f>G17-G18</f>
        <v>-132</v>
      </c>
    </row>
    <row r="20" spans="2:8" ht="15.75" customHeight="1" x14ac:dyDescent="0.3">
      <c r="B20" s="5" t="s">
        <v>159</v>
      </c>
      <c r="C20" s="6">
        <f>IF(C5=0,0,C19/C5)</f>
        <v>3.4706417842512514E-2</v>
      </c>
      <c r="D20" s="6">
        <f>IF(D5=0,0,D19/D5)</f>
        <v>-4.1150695370546768E-2</v>
      </c>
      <c r="E20" s="6">
        <f>IF(E5=0,0,E19/E5)</f>
        <v>-1.5486725663716814E-2</v>
      </c>
      <c r="F20" s="6">
        <f>IF(F5=0,0,F19/F5)</f>
        <v>5.6691898856498633E-2</v>
      </c>
      <c r="G20" s="6">
        <f>IF(G5=0,0,G19/G5)</f>
        <v>-2.0493712156497437E-2</v>
      </c>
    </row>
    <row r="21" spans="2:8" ht="15.75" customHeight="1" x14ac:dyDescent="0.3">
      <c r="B21" s="9" t="s">
        <v>160</v>
      </c>
      <c r="C21" s="10">
        <v>-1.89</v>
      </c>
      <c r="D21" s="10">
        <v>-7.93</v>
      </c>
      <c r="E21" s="10">
        <v>-1.1599999999999999</v>
      </c>
      <c r="F21" s="10">
        <v>-0.38</v>
      </c>
      <c r="G21" s="10">
        <v>-6.19</v>
      </c>
    </row>
    <row r="22" spans="2:8" ht="15.75" customHeight="1" x14ac:dyDescent="0.3"/>
    <row r="23" spans="2:8" ht="15.75" customHeight="1" x14ac:dyDescent="0.3">
      <c r="B23" s="98" t="s">
        <v>161</v>
      </c>
      <c r="C23" s="97"/>
      <c r="D23" s="97"/>
      <c r="E23" s="97"/>
      <c r="F23" s="97"/>
      <c r="G23" s="97"/>
    </row>
    <row r="24" spans="2:8" ht="15.75" customHeight="1" x14ac:dyDescent="0.3">
      <c r="B24" s="3" t="s">
        <v>143</v>
      </c>
      <c r="C24" s="4" t="s">
        <v>4</v>
      </c>
      <c r="D24" s="4" t="s">
        <v>5</v>
      </c>
      <c r="E24" s="4" t="s">
        <v>6</v>
      </c>
      <c r="F24" s="4" t="s">
        <v>7</v>
      </c>
      <c r="G24" s="4" t="s">
        <v>8</v>
      </c>
    </row>
    <row r="25" spans="2:8" ht="15.75" customHeight="1" x14ac:dyDescent="0.3">
      <c r="B25" s="7" t="s">
        <v>162</v>
      </c>
      <c r="C25" s="8"/>
      <c r="D25" s="8"/>
      <c r="E25" s="8"/>
      <c r="F25" s="8"/>
      <c r="G25" s="8"/>
      <c r="H25" s="7"/>
    </row>
    <row r="26" spans="2:8" ht="15.75" customHeight="1" x14ac:dyDescent="0.3">
      <c r="B26" s="9" t="s">
        <v>163</v>
      </c>
      <c r="C26" s="10">
        <v>774</v>
      </c>
      <c r="D26" s="10">
        <v>915</v>
      </c>
      <c r="E26" s="10">
        <v>938</v>
      </c>
      <c r="F26" s="10">
        <v>949</v>
      </c>
      <c r="G26" s="10">
        <v>1015</v>
      </c>
      <c r="H26" s="9"/>
    </row>
    <row r="27" spans="2:8" ht="15.75" customHeight="1" x14ac:dyDescent="0.3">
      <c r="B27" s="7" t="s">
        <v>164</v>
      </c>
      <c r="C27" s="8">
        <v>568</v>
      </c>
      <c r="D27" s="8">
        <v>2644</v>
      </c>
      <c r="E27" s="8">
        <v>2735</v>
      </c>
      <c r="F27" s="8">
        <v>3443</v>
      </c>
      <c r="G27" s="8">
        <v>3959</v>
      </c>
      <c r="H27" s="7"/>
    </row>
    <row r="28" spans="2:8" ht="15.75" customHeight="1" x14ac:dyDescent="0.3">
      <c r="B28" s="5" t="s">
        <v>165</v>
      </c>
      <c r="C28" s="6">
        <f>C26+C27</f>
        <v>1342</v>
      </c>
      <c r="D28" s="6">
        <f>D26+D27</f>
        <v>3559</v>
      </c>
      <c r="E28" s="6">
        <f>E26+E27</f>
        <v>3673</v>
      </c>
      <c r="F28" s="6">
        <f>F26+F27</f>
        <v>4392</v>
      </c>
      <c r="G28" s="6">
        <f>G26+G27</f>
        <v>4974</v>
      </c>
      <c r="H28" s="5"/>
    </row>
    <row r="29" spans="2:8" ht="15.75" customHeight="1" x14ac:dyDescent="0.3">
      <c r="B29" s="7" t="s">
        <v>166</v>
      </c>
      <c r="C29" s="8">
        <v>125</v>
      </c>
      <c r="D29" s="8">
        <v>325</v>
      </c>
      <c r="E29" s="8">
        <v>152</v>
      </c>
      <c r="F29" s="8">
        <v>27</v>
      </c>
      <c r="G29" s="8">
        <v>469</v>
      </c>
      <c r="H29" s="7"/>
    </row>
    <row r="30" spans="2:8" x14ac:dyDescent="0.3">
      <c r="B30" s="5" t="s">
        <v>167</v>
      </c>
      <c r="C30" s="6">
        <f>C28+C29</f>
        <v>1467</v>
      </c>
      <c r="D30" s="6">
        <f>D28+D29</f>
        <v>3884</v>
      </c>
      <c r="E30" s="6">
        <f>E28+E29</f>
        <v>3825</v>
      </c>
      <c r="F30" s="6">
        <f>F28+F29</f>
        <v>4419</v>
      </c>
      <c r="G30" s="6">
        <f>G28+G29</f>
        <v>5443</v>
      </c>
      <c r="H30" s="5"/>
    </row>
    <row r="31" spans="2:8" ht="19.5" customHeight="1" x14ac:dyDescent="0.3">
      <c r="B31" s="7" t="s">
        <v>168</v>
      </c>
      <c r="C31" s="8"/>
      <c r="D31" s="8"/>
      <c r="E31" s="8"/>
      <c r="F31" s="8"/>
      <c r="G31" s="8"/>
      <c r="H31" s="7"/>
    </row>
    <row r="32" spans="2:8" ht="18" customHeight="1" x14ac:dyDescent="0.3">
      <c r="B32" s="5" t="s">
        <v>169</v>
      </c>
      <c r="C32" s="6">
        <v>3200</v>
      </c>
      <c r="D32" s="6">
        <v>3890</v>
      </c>
      <c r="E32" s="6">
        <v>4100</v>
      </c>
      <c r="F32" s="6">
        <v>4500</v>
      </c>
      <c r="G32" s="6">
        <v>3985</v>
      </c>
      <c r="H32" s="5"/>
    </row>
    <row r="33" spans="2:8" ht="15.75" customHeight="1" x14ac:dyDescent="0.3">
      <c r="B33" s="7" t="s">
        <v>170</v>
      </c>
      <c r="C33" s="8">
        <v>1750</v>
      </c>
      <c r="D33" s="8">
        <v>1754</v>
      </c>
      <c r="E33" s="8">
        <v>2077</v>
      </c>
      <c r="F33" s="8">
        <v>3346</v>
      </c>
      <c r="G33" s="8">
        <v>4088</v>
      </c>
      <c r="H33" s="7"/>
    </row>
    <row r="34" spans="2:8" ht="15.75" customHeight="1" x14ac:dyDescent="0.3">
      <c r="B34" s="9" t="s">
        <v>171</v>
      </c>
      <c r="C34" s="10">
        <v>212</v>
      </c>
      <c r="D34" s="10">
        <v>212</v>
      </c>
      <c r="E34" s="10">
        <v>212</v>
      </c>
      <c r="F34" s="10">
        <v>252</v>
      </c>
      <c r="G34" s="10">
        <v>661</v>
      </c>
      <c r="H34" s="9"/>
    </row>
    <row r="35" spans="2:8" ht="15.75" customHeight="1" x14ac:dyDescent="0.3">
      <c r="B35" s="5" t="s">
        <v>172</v>
      </c>
      <c r="C35" s="6">
        <v>381</v>
      </c>
      <c r="D35" s="6">
        <v>663</v>
      </c>
      <c r="E35" s="6">
        <v>704</v>
      </c>
      <c r="F35" s="6">
        <v>743</v>
      </c>
      <c r="G35" s="6">
        <v>729</v>
      </c>
      <c r="H35" s="5"/>
    </row>
    <row r="36" spans="2:8" x14ac:dyDescent="0.3">
      <c r="B36" s="5" t="s">
        <v>173</v>
      </c>
      <c r="C36" s="6">
        <v>271</v>
      </c>
      <c r="D36" s="6">
        <v>271</v>
      </c>
      <c r="E36" s="6">
        <v>330</v>
      </c>
      <c r="F36" s="6">
        <v>430</v>
      </c>
      <c r="G36" s="6">
        <v>724</v>
      </c>
      <c r="H36" s="5"/>
    </row>
    <row r="37" spans="2:8" x14ac:dyDescent="0.3">
      <c r="B37" s="5" t="s">
        <v>174</v>
      </c>
      <c r="C37" s="6">
        <f>SUM(C32:C36)</f>
        <v>5814</v>
      </c>
      <c r="D37" s="6">
        <f>SUM(D32:D36)</f>
        <v>6790</v>
      </c>
      <c r="E37" s="6">
        <f>SUM(E32:E36)</f>
        <v>7423</v>
      </c>
      <c r="F37" s="6">
        <f>SUM(F32:F36)</f>
        <v>9271</v>
      </c>
      <c r="G37" s="6">
        <f>SUM(G32:G36)</f>
        <v>10187</v>
      </c>
      <c r="H37" s="5"/>
    </row>
    <row r="38" spans="2:8" x14ac:dyDescent="0.3">
      <c r="B38" s="7" t="s">
        <v>175</v>
      </c>
      <c r="C38" s="8"/>
      <c r="D38" s="8"/>
      <c r="E38" s="8"/>
      <c r="F38" s="8"/>
      <c r="G38" s="8"/>
      <c r="H38" s="7"/>
    </row>
    <row r="39" spans="2:8" x14ac:dyDescent="0.3">
      <c r="B39" s="9" t="s">
        <v>176</v>
      </c>
      <c r="C39" s="10">
        <v>890</v>
      </c>
      <c r="D39" s="10">
        <v>750</v>
      </c>
      <c r="E39" s="10">
        <v>980</v>
      </c>
      <c r="F39" s="10">
        <v>1200</v>
      </c>
      <c r="G39" s="10">
        <v>1300</v>
      </c>
      <c r="H39" s="9"/>
    </row>
    <row r="40" spans="2:8" x14ac:dyDescent="0.3">
      <c r="B40" s="7" t="s">
        <v>177</v>
      </c>
      <c r="C40" s="8">
        <v>195</v>
      </c>
      <c r="D40" s="8">
        <v>360</v>
      </c>
      <c r="E40" s="8">
        <v>145</v>
      </c>
      <c r="F40" s="8">
        <v>358</v>
      </c>
      <c r="G40" s="8">
        <v>485</v>
      </c>
      <c r="H40" s="7"/>
    </row>
    <row r="41" spans="2:8" x14ac:dyDescent="0.3">
      <c r="B41" s="5" t="s">
        <v>178</v>
      </c>
      <c r="C41" s="6">
        <v>709</v>
      </c>
      <c r="D41" s="6">
        <v>710</v>
      </c>
      <c r="E41" s="6">
        <v>792</v>
      </c>
      <c r="F41" s="6">
        <v>921</v>
      </c>
      <c r="G41" s="6">
        <v>1159</v>
      </c>
      <c r="H41" s="5"/>
    </row>
    <row r="42" spans="2:8" x14ac:dyDescent="0.3">
      <c r="B42" s="7" t="s">
        <v>179</v>
      </c>
      <c r="C42" s="8">
        <v>1820</v>
      </c>
      <c r="D42" s="8">
        <v>1290</v>
      </c>
      <c r="E42" s="8">
        <v>2150</v>
      </c>
      <c r="F42" s="8">
        <v>3210</v>
      </c>
      <c r="G42" s="8">
        <v>4131</v>
      </c>
      <c r="H42" s="7"/>
    </row>
    <row r="43" spans="2:8" x14ac:dyDescent="0.3">
      <c r="B43" s="5" t="s">
        <v>180</v>
      </c>
      <c r="C43" s="6">
        <v>596</v>
      </c>
      <c r="D43" s="6">
        <v>780</v>
      </c>
      <c r="E43" s="6">
        <v>933</v>
      </c>
      <c r="F43" s="6">
        <v>1399</v>
      </c>
      <c r="G43" s="6">
        <v>2045</v>
      </c>
      <c r="H43" s="5"/>
    </row>
    <row r="44" spans="2:8" x14ac:dyDescent="0.3">
      <c r="B44" s="7" t="s">
        <v>181</v>
      </c>
      <c r="C44" s="8">
        <v>0</v>
      </c>
      <c r="D44" s="8">
        <v>0</v>
      </c>
      <c r="E44" s="8">
        <v>100</v>
      </c>
      <c r="F44" s="8">
        <v>0</v>
      </c>
      <c r="G44" s="8">
        <v>0</v>
      </c>
      <c r="H44" s="7"/>
    </row>
    <row r="45" spans="2:8" x14ac:dyDescent="0.3">
      <c r="B45" s="5" t="s">
        <v>182</v>
      </c>
      <c r="C45" s="6">
        <f>SUM(C39:C44)</f>
        <v>4210</v>
      </c>
      <c r="D45" s="6">
        <f>SUM(D39:D44)</f>
        <v>3890</v>
      </c>
      <c r="E45" s="6">
        <f>SUM(E39:E44)</f>
        <v>5100</v>
      </c>
      <c r="F45" s="6">
        <f>SUM(F39:F44)</f>
        <v>7088</v>
      </c>
      <c r="G45" s="6">
        <f>SUM(G39:G44)</f>
        <v>9120</v>
      </c>
      <c r="H45" s="5"/>
    </row>
    <row r="46" spans="2:8" x14ac:dyDescent="0.3">
      <c r="B46" s="7" t="s">
        <v>183</v>
      </c>
      <c r="C46" s="8">
        <f>C30+C37+C45</f>
        <v>11491</v>
      </c>
      <c r="D46" s="8">
        <f>D30+D37+D45</f>
        <v>14564</v>
      </c>
      <c r="E46" s="8">
        <f>E30+E37+E45</f>
        <v>16348</v>
      </c>
      <c r="F46" s="8">
        <f>F30+F37+F45</f>
        <v>20778</v>
      </c>
      <c r="G46" s="8">
        <f>G30+G37+G45</f>
        <v>24750</v>
      </c>
      <c r="H46" s="7"/>
    </row>
    <row r="47" spans="2:8" x14ac:dyDescent="0.3">
      <c r="B47" s="9" t="s">
        <v>184</v>
      </c>
      <c r="C47" s="10"/>
      <c r="D47" s="10"/>
      <c r="E47" s="10"/>
      <c r="F47" s="10"/>
      <c r="G47" s="10"/>
      <c r="H47" s="9"/>
    </row>
    <row r="48" spans="2:8" x14ac:dyDescent="0.3">
      <c r="B48" s="5" t="s">
        <v>185</v>
      </c>
      <c r="C48" s="6">
        <v>1980</v>
      </c>
      <c r="D48" s="6">
        <v>1890</v>
      </c>
      <c r="E48" s="6">
        <v>2150</v>
      </c>
      <c r="F48" s="6">
        <v>2890</v>
      </c>
      <c r="G48" s="6">
        <v>3450</v>
      </c>
      <c r="H48" s="5"/>
    </row>
    <row r="49" spans="2:8" x14ac:dyDescent="0.3">
      <c r="B49" s="5" t="s">
        <v>186</v>
      </c>
      <c r="C49" s="6">
        <v>2960</v>
      </c>
      <c r="D49" s="6">
        <v>3737</v>
      </c>
      <c r="E49" s="6">
        <v>3906</v>
      </c>
      <c r="F49" s="6">
        <v>5469</v>
      </c>
      <c r="G49" s="6">
        <v>8429</v>
      </c>
      <c r="H49" s="5"/>
    </row>
    <row r="50" spans="2:8" x14ac:dyDescent="0.3">
      <c r="B50" s="5" t="s">
        <v>187</v>
      </c>
      <c r="C50" s="6">
        <v>48</v>
      </c>
      <c r="D50" s="6">
        <v>38</v>
      </c>
      <c r="E50" s="6">
        <v>103</v>
      </c>
      <c r="F50" s="6">
        <v>204</v>
      </c>
      <c r="G50" s="6">
        <v>171</v>
      </c>
      <c r="H50" s="5"/>
    </row>
    <row r="51" spans="2:8" x14ac:dyDescent="0.3">
      <c r="B51" s="7" t="s">
        <v>188</v>
      </c>
      <c r="C51" s="8">
        <v>3750</v>
      </c>
      <c r="D51" s="8">
        <v>3998</v>
      </c>
      <c r="E51" s="8">
        <v>5350</v>
      </c>
      <c r="F51" s="8">
        <v>7225</v>
      </c>
      <c r="G51" s="8">
        <v>10600</v>
      </c>
      <c r="H51" s="7"/>
    </row>
    <row r="52" spans="2:8" x14ac:dyDescent="0.3">
      <c r="B52" s="9" t="s">
        <v>189</v>
      </c>
      <c r="C52" s="10">
        <f>SUM(C48:C51)</f>
        <v>8738</v>
      </c>
      <c r="D52" s="10">
        <f>SUM(D48:D51)</f>
        <v>9663</v>
      </c>
      <c r="E52" s="10">
        <f>SUM(E48:E51)</f>
        <v>11509</v>
      </c>
      <c r="F52" s="10">
        <f>SUM(F48:F51)</f>
        <v>15788</v>
      </c>
      <c r="G52" s="10">
        <f>SUM(G48:G51)</f>
        <v>22650</v>
      </c>
      <c r="H52" s="9"/>
    </row>
    <row r="53" spans="2:8" x14ac:dyDescent="0.3">
      <c r="B53" s="7" t="s">
        <v>190</v>
      </c>
      <c r="C53" s="8">
        <v>14</v>
      </c>
      <c r="D53" s="8">
        <v>418</v>
      </c>
      <c r="E53" s="8">
        <v>684</v>
      </c>
      <c r="F53" s="8">
        <v>267</v>
      </c>
      <c r="G53" s="8">
        <v>985</v>
      </c>
      <c r="H53" s="7"/>
    </row>
    <row r="54" spans="2:8" x14ac:dyDescent="0.3">
      <c r="B54" s="5" t="s">
        <v>191</v>
      </c>
      <c r="C54" s="6">
        <v>0</v>
      </c>
      <c r="D54" s="6">
        <v>0</v>
      </c>
      <c r="E54" s="6">
        <v>0</v>
      </c>
      <c r="F54" s="6">
        <v>0</v>
      </c>
      <c r="G54" s="6">
        <v>0</v>
      </c>
      <c r="H54" s="5"/>
    </row>
    <row r="55" spans="2:8" x14ac:dyDescent="0.3">
      <c r="B55" s="7" t="s">
        <v>192</v>
      </c>
      <c r="C55" s="8">
        <v>0</v>
      </c>
      <c r="D55" s="8">
        <v>0</v>
      </c>
      <c r="E55" s="8">
        <v>0</v>
      </c>
      <c r="F55" s="8">
        <v>0</v>
      </c>
      <c r="G55" s="8">
        <v>0</v>
      </c>
      <c r="H55" s="7"/>
    </row>
    <row r="56" spans="2:8" x14ac:dyDescent="0.3">
      <c r="B56" s="5" t="s">
        <v>193</v>
      </c>
      <c r="C56" s="6">
        <v>600</v>
      </c>
      <c r="D56" s="6">
        <v>477</v>
      </c>
      <c r="E56" s="6">
        <v>450</v>
      </c>
      <c r="F56" s="6">
        <v>574</v>
      </c>
      <c r="G56" s="6">
        <v>600</v>
      </c>
      <c r="H56" s="5"/>
    </row>
    <row r="57" spans="2:8" x14ac:dyDescent="0.3">
      <c r="B57" s="7" t="s">
        <v>194</v>
      </c>
      <c r="C57" s="8">
        <f>C52+C53+C54+C55+C56</f>
        <v>9352</v>
      </c>
      <c r="D57" s="8">
        <f>D52+D53+D54+D55+D56</f>
        <v>10558</v>
      </c>
      <c r="E57" s="8">
        <f>E52+E53+E54+E55+E56</f>
        <v>12643</v>
      </c>
      <c r="F57" s="8">
        <f>F52+F53+F54+F55+F56</f>
        <v>16629</v>
      </c>
      <c r="G57" s="8">
        <f>G52+G53+G54+G55+G56</f>
        <v>24235</v>
      </c>
      <c r="H57" s="7"/>
    </row>
    <row r="58" spans="2:8" x14ac:dyDescent="0.3">
      <c r="B58" s="5" t="s">
        <v>195</v>
      </c>
      <c r="C58" s="6"/>
      <c r="D58" s="6"/>
      <c r="E58" s="6"/>
      <c r="F58" s="6"/>
      <c r="G58" s="6"/>
      <c r="H58" s="5"/>
    </row>
    <row r="59" spans="2:8" x14ac:dyDescent="0.3">
      <c r="B59" s="7" t="s">
        <v>196</v>
      </c>
      <c r="C59" s="8">
        <v>299</v>
      </c>
      <c r="D59" s="8">
        <v>418</v>
      </c>
      <c r="E59" s="8">
        <v>150</v>
      </c>
      <c r="F59" s="8">
        <v>537</v>
      </c>
      <c r="G59" s="8">
        <v>1439</v>
      </c>
      <c r="H59" s="7"/>
    </row>
    <row r="60" spans="2:8" x14ac:dyDescent="0.3">
      <c r="B60" s="9" t="s">
        <v>197</v>
      </c>
      <c r="C60" s="10">
        <v>1743</v>
      </c>
      <c r="D60" s="10">
        <v>1847</v>
      </c>
      <c r="E60" s="10">
        <v>2930</v>
      </c>
      <c r="F60" s="10">
        <v>4214</v>
      </c>
      <c r="G60" s="10">
        <v>4505</v>
      </c>
      <c r="H60" s="9"/>
    </row>
    <row r="61" spans="2:8" x14ac:dyDescent="0.3">
      <c r="B61" s="5" t="s">
        <v>198</v>
      </c>
      <c r="C61" s="6">
        <v>722</v>
      </c>
      <c r="D61" s="6">
        <v>608</v>
      </c>
      <c r="E61" s="6">
        <v>756</v>
      </c>
      <c r="F61" s="6">
        <v>925</v>
      </c>
      <c r="G61" s="6">
        <v>1359</v>
      </c>
      <c r="H61" s="5"/>
    </row>
    <row r="62" spans="2:8" x14ac:dyDescent="0.3">
      <c r="B62" s="5" t="s">
        <v>199</v>
      </c>
      <c r="C62" s="6">
        <v>246</v>
      </c>
      <c r="D62" s="6">
        <v>246</v>
      </c>
      <c r="E62" s="6">
        <v>118</v>
      </c>
      <c r="F62" s="6">
        <v>693</v>
      </c>
      <c r="G62" s="6">
        <v>454</v>
      </c>
      <c r="H62" s="5"/>
    </row>
    <row r="63" spans="2:8" x14ac:dyDescent="0.3">
      <c r="B63" s="5" t="s">
        <v>200</v>
      </c>
      <c r="C63" s="6">
        <v>0</v>
      </c>
      <c r="D63" s="6">
        <v>0</v>
      </c>
      <c r="E63" s="6">
        <v>0</v>
      </c>
      <c r="F63" s="6">
        <v>0</v>
      </c>
      <c r="G63" s="6">
        <v>0</v>
      </c>
      <c r="H63" s="5"/>
    </row>
    <row r="64" spans="2:8" x14ac:dyDescent="0.3">
      <c r="B64" s="7" t="s">
        <v>201</v>
      </c>
      <c r="C64" s="8">
        <v>504</v>
      </c>
      <c r="D64" s="8">
        <v>912</v>
      </c>
      <c r="E64" s="8">
        <v>780</v>
      </c>
      <c r="F64" s="8">
        <v>956</v>
      </c>
      <c r="G64" s="8">
        <v>879</v>
      </c>
      <c r="H64" s="7"/>
    </row>
    <row r="65" spans="2:8" x14ac:dyDescent="0.3">
      <c r="B65" s="9" t="s">
        <v>202</v>
      </c>
      <c r="C65" s="10">
        <f>SUM(C59:C64)</f>
        <v>3514</v>
      </c>
      <c r="D65" s="10">
        <f>SUM(D59:D64)</f>
        <v>4031</v>
      </c>
      <c r="E65" s="10">
        <f>SUM(E59:E64)</f>
        <v>4734</v>
      </c>
      <c r="F65" s="10">
        <f>SUM(F59:F64)</f>
        <v>7325</v>
      </c>
      <c r="G65" s="10">
        <f>SUM(G59:G64)</f>
        <v>8636</v>
      </c>
      <c r="H65" s="9"/>
    </row>
    <row r="66" spans="2:8" x14ac:dyDescent="0.3">
      <c r="B66" s="7" t="s">
        <v>203</v>
      </c>
      <c r="C66" s="8">
        <f>C57+C65</f>
        <v>12866</v>
      </c>
      <c r="D66" s="8">
        <f>D57+D65</f>
        <v>14589</v>
      </c>
      <c r="E66" s="8">
        <f>E57+E65</f>
        <v>17377</v>
      </c>
      <c r="F66" s="8">
        <f>F57+F65</f>
        <v>23954</v>
      </c>
      <c r="G66" s="8">
        <f>G57+G65</f>
        <v>32871</v>
      </c>
      <c r="H66" s="7"/>
    </row>
    <row r="67" spans="2:8" x14ac:dyDescent="0.3">
      <c r="B67" s="118" t="s">
        <v>204</v>
      </c>
      <c r="C67" s="97"/>
      <c r="D67" s="97"/>
      <c r="E67" s="97"/>
      <c r="F67" s="97"/>
      <c r="G67" s="97"/>
    </row>
    <row r="68" spans="2:8" x14ac:dyDescent="0.3">
      <c r="B68" s="11" t="s">
        <v>205</v>
      </c>
      <c r="C68" s="12">
        <f>C66-C46</f>
        <v>1375</v>
      </c>
      <c r="D68" s="12">
        <f>D66-D46</f>
        <v>25</v>
      </c>
      <c r="E68" s="12">
        <f>E66-E46</f>
        <v>1029</v>
      </c>
      <c r="F68" s="12">
        <f>F66-F46</f>
        <v>3176</v>
      </c>
      <c r="G68" s="12">
        <f>G66-G46</f>
        <v>8121</v>
      </c>
    </row>
    <row r="70" spans="2:8" ht="15.75" customHeight="1" x14ac:dyDescent="0.3">
      <c r="B70" s="103" t="s">
        <v>206</v>
      </c>
      <c r="C70" s="97"/>
      <c r="D70" s="97"/>
      <c r="E70" s="97"/>
      <c r="F70" s="97"/>
      <c r="G70" s="97"/>
    </row>
    <row r="71" spans="2:8" x14ac:dyDescent="0.3">
      <c r="B71" s="3" t="s">
        <v>143</v>
      </c>
      <c r="C71" s="4" t="s">
        <v>4</v>
      </c>
      <c r="D71" s="4" t="s">
        <v>5</v>
      </c>
      <c r="E71" s="4" t="s">
        <v>6</v>
      </c>
      <c r="F71" s="4" t="s">
        <v>7</v>
      </c>
      <c r="G71" s="4" t="s">
        <v>8</v>
      </c>
    </row>
    <row r="72" spans="2:8" x14ac:dyDescent="0.3">
      <c r="B72" s="13" t="s">
        <v>207</v>
      </c>
      <c r="C72" s="14">
        <v>644</v>
      </c>
      <c r="D72" s="14">
        <v>1104</v>
      </c>
      <c r="E72" s="14">
        <v>951</v>
      </c>
      <c r="F72" s="14">
        <v>636</v>
      </c>
      <c r="G72" s="14">
        <v>1341</v>
      </c>
    </row>
    <row r="73" spans="2:8" x14ac:dyDescent="0.3">
      <c r="B73" s="15" t="s">
        <v>208</v>
      </c>
      <c r="C73" s="16">
        <v>551</v>
      </c>
      <c r="D73" s="16">
        <v>855</v>
      </c>
      <c r="E73" s="16">
        <v>553</v>
      </c>
      <c r="F73" s="16">
        <v>387</v>
      </c>
      <c r="G73" s="16">
        <v>2992</v>
      </c>
    </row>
    <row r="74" spans="2:8" x14ac:dyDescent="0.3">
      <c r="B74" s="13" t="s">
        <v>209</v>
      </c>
      <c r="C74" s="14">
        <f>C72-C73</f>
        <v>93</v>
      </c>
      <c r="D74" s="14">
        <f>D72-D73</f>
        <v>249</v>
      </c>
      <c r="E74" s="14">
        <f>E72-E73</f>
        <v>398</v>
      </c>
      <c r="F74" s="14">
        <f>F72-F73</f>
        <v>249</v>
      </c>
      <c r="G74" s="14">
        <f>G72-G73</f>
        <v>-1651</v>
      </c>
    </row>
    <row r="75" spans="2:8" x14ac:dyDescent="0.3">
      <c r="B75" s="13" t="s">
        <v>210</v>
      </c>
      <c r="C75" s="14">
        <v>-551</v>
      </c>
      <c r="D75" s="14">
        <v>-855</v>
      </c>
      <c r="E75" s="14">
        <v>-553</v>
      </c>
      <c r="F75" s="14">
        <v>-387</v>
      </c>
      <c r="G75" s="14">
        <v>-2992</v>
      </c>
    </row>
    <row r="76" spans="2:8" x14ac:dyDescent="0.3">
      <c r="B76" s="15" t="s">
        <v>211</v>
      </c>
      <c r="C76" s="16">
        <v>116</v>
      </c>
      <c r="D76" s="16">
        <v>-269</v>
      </c>
      <c r="E76" s="16">
        <v>-526</v>
      </c>
      <c r="F76" s="16">
        <v>326</v>
      </c>
      <c r="G76" s="16">
        <v>1412</v>
      </c>
    </row>
    <row r="77" spans="2:8" x14ac:dyDescent="0.3">
      <c r="B77" s="13" t="s">
        <v>212</v>
      </c>
      <c r="C77" s="14">
        <f>C72+C75+C76</f>
        <v>209</v>
      </c>
      <c r="D77" s="14">
        <f>D72+D75+D76</f>
        <v>-20</v>
      </c>
      <c r="E77" s="14">
        <f>E72+E75+E76</f>
        <v>-128</v>
      </c>
      <c r="F77" s="14">
        <f>F72+F75+F76</f>
        <v>575</v>
      </c>
      <c r="G77" s="14">
        <f>G72+G75+G76</f>
        <v>-239</v>
      </c>
    </row>
    <row r="78" spans="2:8" x14ac:dyDescent="0.3">
      <c r="B78" s="13" t="s">
        <v>213</v>
      </c>
      <c r="C78" s="14">
        <v>246</v>
      </c>
      <c r="D78" s="14">
        <v>246</v>
      </c>
      <c r="E78" s="14">
        <v>118</v>
      </c>
      <c r="F78" s="14">
        <v>693</v>
      </c>
      <c r="G78" s="14">
        <v>454</v>
      </c>
    </row>
    <row r="80" spans="2:8" x14ac:dyDescent="0.3">
      <c r="B80" s="117"/>
      <c r="C80" s="97"/>
      <c r="D80" s="97"/>
      <c r="E80" s="97"/>
      <c r="F80" s="97"/>
      <c r="G80" s="97"/>
    </row>
  </sheetData>
  <mergeCells count="7">
    <mergeCell ref="B3:G3"/>
    <mergeCell ref="B80:G80"/>
    <mergeCell ref="B1:H1"/>
    <mergeCell ref="B67:G67"/>
    <mergeCell ref="B23:G23"/>
    <mergeCell ref="B2:H2"/>
    <mergeCell ref="B70:G70"/>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E65100"/>
  </sheetPr>
  <dimension ref="B1:J41"/>
  <sheetViews>
    <sheetView showGridLines="0" topLeftCell="A11" zoomScaleNormal="100" workbookViewId="0">
      <selection activeCell="D34" sqref="D34"/>
    </sheetView>
  </sheetViews>
  <sheetFormatPr defaultColWidth="8.6640625" defaultRowHeight="14.4" x14ac:dyDescent="0.3"/>
  <cols>
    <col min="1" max="1" width="3" customWidth="1"/>
    <col min="2" max="2" width="22.21875" customWidth="1"/>
    <col min="3" max="3" width="27.33203125" customWidth="1"/>
    <col min="4" max="4" width="7.77734375" bestFit="1" customWidth="1"/>
    <col min="5" max="5" width="7.21875" bestFit="1" customWidth="1"/>
    <col min="6" max="7" width="7.77734375" bestFit="1" customWidth="1"/>
    <col min="8" max="8" width="7.21875" bestFit="1" customWidth="1"/>
    <col min="9" max="9" width="24" bestFit="1" customWidth="1"/>
    <col min="10" max="10" width="72" customWidth="1"/>
  </cols>
  <sheetData>
    <row r="1" spans="2:10" ht="27.75" customHeight="1" x14ac:dyDescent="0.3">
      <c r="B1" s="99" t="s">
        <v>0</v>
      </c>
      <c r="C1" s="97"/>
      <c r="D1" s="97"/>
      <c r="E1" s="97"/>
      <c r="F1" s="97"/>
      <c r="G1" s="97"/>
      <c r="H1" s="97"/>
    </row>
    <row r="2" spans="2:10" ht="19.5" customHeight="1" x14ac:dyDescent="0.3">
      <c r="B2" s="97"/>
      <c r="C2" s="97"/>
      <c r="D2" s="97"/>
      <c r="E2" s="97"/>
      <c r="F2" s="97"/>
      <c r="G2" s="97"/>
      <c r="H2" s="97"/>
      <c r="I2" s="97"/>
    </row>
    <row r="3" spans="2:10" ht="16.5" customHeight="1" x14ac:dyDescent="0.3">
      <c r="B3" s="102" t="s">
        <v>1</v>
      </c>
      <c r="C3" s="97"/>
      <c r="D3" s="97"/>
      <c r="E3" s="97"/>
      <c r="F3" s="97"/>
      <c r="G3" s="97"/>
      <c r="H3" s="97"/>
    </row>
    <row r="4" spans="2:10" ht="16.5" customHeight="1" x14ac:dyDescent="0.3">
      <c r="B4" s="17" t="s">
        <v>2</v>
      </c>
      <c r="C4" s="17" t="s">
        <v>3</v>
      </c>
      <c r="D4" s="17" t="s">
        <v>4</v>
      </c>
      <c r="E4" s="17" t="s">
        <v>5</v>
      </c>
      <c r="F4" s="17" t="s">
        <v>6</v>
      </c>
      <c r="G4" s="17" t="s">
        <v>7</v>
      </c>
      <c r="H4" s="17" t="s">
        <v>8</v>
      </c>
      <c r="I4" s="56" t="s">
        <v>9</v>
      </c>
      <c r="J4" s="56" t="s">
        <v>10</v>
      </c>
    </row>
    <row r="5" spans="2:10" ht="64.95" customHeight="1" x14ac:dyDescent="0.3">
      <c r="B5" s="18" t="s">
        <v>11</v>
      </c>
      <c r="C5" s="19" t="s">
        <v>12</v>
      </c>
      <c r="D5" s="20">
        <f>' ABFRL Financial Data'!C65 / ' ABFRL Financial Data'!C45</f>
        <v>0.83467933491686463</v>
      </c>
      <c r="E5" s="20">
        <f>' ABFRL Financial Data'!D65 / ' ABFRL Financial Data'!D45</f>
        <v>1.0362467866323908</v>
      </c>
      <c r="F5" s="20">
        <f>' ABFRL Financial Data'!E65 / ' ABFRL Financial Data'!E45</f>
        <v>0.92823529411764705</v>
      </c>
      <c r="G5" s="20">
        <f>' ABFRL Financial Data'!F65 / ' ABFRL Financial Data'!F45</f>
        <v>1.0334367945823928</v>
      </c>
      <c r="H5" s="20">
        <f>' ABFRL Financial Data'!G65 / ' ABFRL Financial Data'!G45</f>
        <v>0.94692982456140351</v>
      </c>
      <c r="I5" s="57" t="s">
        <v>13</v>
      </c>
      <c r="J5" s="58" t="s">
        <v>14</v>
      </c>
    </row>
    <row r="6" spans="2:10" ht="64.95" customHeight="1" x14ac:dyDescent="0.3">
      <c r="B6" s="15" t="s">
        <v>15</v>
      </c>
      <c r="C6" s="21" t="s">
        <v>16</v>
      </c>
      <c r="D6" s="20">
        <f>(' ABFRL Financial Data'!C65-' ABFRL Financial Data'!C60)/' ABFRL Financial Data'!C45</f>
        <v>0.42066508313539192</v>
      </c>
      <c r="E6" s="20">
        <f>(' ABFRL Financial Data'!D65-' ABFRL Financial Data'!D60)/' ABFRL Financial Data'!D45</f>
        <v>0.56143958868894606</v>
      </c>
      <c r="F6" s="20">
        <f>(' ABFRL Financial Data'!E65-' ABFRL Financial Data'!E60)/' ABFRL Financial Data'!E45</f>
        <v>0.35372549019607841</v>
      </c>
      <c r="G6" s="20">
        <f>(' ABFRL Financial Data'!F65-' ABFRL Financial Data'!F60)/' ABFRL Financial Data'!F45</f>
        <v>0.43891083521444696</v>
      </c>
      <c r="H6" s="20">
        <f>(' ABFRL Financial Data'!G65-' ABFRL Financial Data'!G60)/' ABFRL Financial Data'!G45</f>
        <v>0.45296052631578948</v>
      </c>
      <c r="I6" s="57" t="s">
        <v>17</v>
      </c>
      <c r="J6" s="59" t="s">
        <v>18</v>
      </c>
    </row>
    <row r="7" spans="2:10" ht="64.95" customHeight="1" x14ac:dyDescent="0.3">
      <c r="B7" s="18" t="s">
        <v>19</v>
      </c>
      <c r="C7" s="19" t="s">
        <v>20</v>
      </c>
      <c r="D7" s="20">
        <f>' ABFRL Financial Data'!C62/' ABFRL Financial Data'!C45</f>
        <v>5.843230403800475E-2</v>
      </c>
      <c r="E7" s="20">
        <f>' ABFRL Financial Data'!D62/' ABFRL Financial Data'!D45</f>
        <v>6.3239074550128532E-2</v>
      </c>
      <c r="F7" s="20">
        <f>' ABFRL Financial Data'!E62/' ABFRL Financial Data'!E45</f>
        <v>2.3137254901960783E-2</v>
      </c>
      <c r="G7" s="20">
        <f>' ABFRL Financial Data'!F62/' ABFRL Financial Data'!F45</f>
        <v>9.7770880361173818E-2</v>
      </c>
      <c r="H7" s="20">
        <f>' ABFRL Financial Data'!G62/' ABFRL Financial Data'!G45</f>
        <v>4.9780701754385967E-2</v>
      </c>
      <c r="I7" s="57" t="s">
        <v>21</v>
      </c>
      <c r="J7" s="58" t="s">
        <v>22</v>
      </c>
    </row>
    <row r="8" spans="2:10" ht="18" customHeight="1" x14ac:dyDescent="0.3"/>
    <row r="9" spans="2:10" ht="16.5" customHeight="1" x14ac:dyDescent="0.3">
      <c r="B9" s="98" t="s">
        <v>23</v>
      </c>
      <c r="C9" s="97"/>
      <c r="D9" s="97"/>
      <c r="E9" s="97"/>
      <c r="F9" s="97"/>
      <c r="G9" s="97"/>
      <c r="H9" s="97"/>
    </row>
    <row r="10" spans="2:10" ht="16.5" customHeight="1" x14ac:dyDescent="0.3">
      <c r="B10" s="17" t="s">
        <v>2</v>
      </c>
      <c r="C10" s="17" t="s">
        <v>3</v>
      </c>
      <c r="D10" s="17" t="s">
        <v>4</v>
      </c>
      <c r="E10" s="17" t="s">
        <v>5</v>
      </c>
      <c r="F10" s="17" t="s">
        <v>6</v>
      </c>
      <c r="G10" s="17" t="s">
        <v>7</v>
      </c>
      <c r="H10" s="17" t="s">
        <v>8</v>
      </c>
      <c r="I10" s="56" t="s">
        <v>9</v>
      </c>
      <c r="J10" s="56" t="s">
        <v>10</v>
      </c>
    </row>
    <row r="11" spans="2:10" ht="64.95" customHeight="1" x14ac:dyDescent="0.3">
      <c r="B11" s="18" t="s">
        <v>24</v>
      </c>
      <c r="C11" s="19" t="s">
        <v>25</v>
      </c>
      <c r="D11" s="22">
        <f>IF(' ABFRL Financial Data'!C5=0,0,' ABFRL Financial Data'!C14/' ABFRL Financial Data'!C5)</f>
        <v>0.84592626308602636</v>
      </c>
      <c r="E11" s="22">
        <f>IF(' ABFRL Financial Data'!D5=0,0,' ABFRL Financial Data'!D14/' ABFRL Financial Data'!D5)</f>
        <v>0.71556486949895215</v>
      </c>
      <c r="F11" s="22">
        <f>IF(' ABFRL Financial Data'!E5=0,0,' ABFRL Financial Data'!E14/' ABFRL Financial Data'!E5)</f>
        <v>0.82964601769911506</v>
      </c>
      <c r="G11" s="22">
        <f>IF(' ABFRL Financial Data'!F5=0,0,' ABFRL Financial Data'!F14/' ABFRL Financial Data'!F5)</f>
        <v>0.8580286680624899</v>
      </c>
      <c r="H11" s="22">
        <f>IF(' ABFRL Financial Data'!G5=0,0,' ABFRL Financial Data'!G14/' ABFRL Financial Data'!G5)</f>
        <v>0.75081509082440612</v>
      </c>
      <c r="I11" s="60" t="s">
        <v>26</v>
      </c>
      <c r="J11" s="58" t="s">
        <v>27</v>
      </c>
    </row>
    <row r="12" spans="2:10" ht="64.95" customHeight="1" x14ac:dyDescent="0.3">
      <c r="B12" s="15" t="s">
        <v>28</v>
      </c>
      <c r="C12" s="21" t="s">
        <v>29</v>
      </c>
      <c r="D12" s="23">
        <f>IF(' ABFRL Financial Data'!C5=0,0,' ABFRL Financial Data'!C16/' ABFRL Financial Data'!C5)</f>
        <v>0.74522075557578515</v>
      </c>
      <c r="E12" s="23">
        <f>IF(' ABFRL Financial Data'!D5=0,0,' ABFRL Financial Data'!D16/' ABFRL Financial Data'!D5)</f>
        <v>0.53210135263859781</v>
      </c>
      <c r="F12" s="23">
        <f>IF(' ABFRL Financial Data'!E5=0,0,' ABFRL Financial Data'!E16/' ABFRL Financial Data'!E5)</f>
        <v>0.70710422812192719</v>
      </c>
      <c r="G12" s="23">
        <f>IF(' ABFRL Financial Data'!F5=0,0,' ABFRL Financial Data'!F16/' ABFRL Financial Data'!F5)</f>
        <v>0.75922048639072315</v>
      </c>
      <c r="H12" s="23">
        <f>IF(' ABFRL Financial Data'!G5=0,0,' ABFRL Financial Data'!G16/' ABFRL Financial Data'!G5)</f>
        <v>0.59292035398230092</v>
      </c>
      <c r="I12" s="60" t="s">
        <v>30</v>
      </c>
      <c r="J12" s="59" t="s">
        <v>31</v>
      </c>
    </row>
    <row r="13" spans="2:10" ht="64.95" customHeight="1" x14ac:dyDescent="0.3">
      <c r="B13" s="18" t="s">
        <v>32</v>
      </c>
      <c r="C13" s="19" t="s">
        <v>33</v>
      </c>
      <c r="D13" s="22">
        <f>IF(' ABFRL Financial Data'!C5=0,0,' ABFRL Financial Data'!C19/' ABFRL Financial Data'!C5)</f>
        <v>3.4706417842512514E-2</v>
      </c>
      <c r="E13" s="22">
        <f>IF(' ABFRL Financial Data'!D5=0,0,' ABFRL Financial Data'!D19/' ABFRL Financial Data'!D5)</f>
        <v>-4.1150695370546768E-2</v>
      </c>
      <c r="F13" s="22">
        <f>IF(' ABFRL Financial Data'!E5=0,0,' ABFRL Financial Data'!E19/' ABFRL Financial Data'!E5)</f>
        <v>-1.5486725663716814E-2</v>
      </c>
      <c r="G13" s="22">
        <f>IF(' ABFRL Financial Data'!F5=0,0,' ABFRL Financial Data'!F19/' ABFRL Financial Data'!F5)</f>
        <v>5.6691898856498633E-2</v>
      </c>
      <c r="H13" s="22">
        <f>IF(' ABFRL Financial Data'!G5=0,0,' ABFRL Financial Data'!G19/' ABFRL Financial Data'!G5)</f>
        <v>-2.0493712156497437E-2</v>
      </c>
      <c r="I13" s="60" t="s">
        <v>34</v>
      </c>
      <c r="J13" s="58" t="s">
        <v>35</v>
      </c>
    </row>
    <row r="14" spans="2:10" ht="64.95" customHeight="1" x14ac:dyDescent="0.3">
      <c r="B14" s="15" t="s">
        <v>36</v>
      </c>
      <c r="C14" s="21" t="s">
        <v>37</v>
      </c>
      <c r="D14" s="23">
        <f>IF(' ABFRL Financial Data'!C66=0,0,' ABFRL Financial Data'!C19/' ABFRL Financial Data'!C66)</f>
        <v>2.3705891496968754E-2</v>
      </c>
      <c r="E14" s="23">
        <f>IF(' ABFRL Financial Data'!D66=0,0,' ABFRL Financial Data'!D19/' ABFRL Financial Data'!D66)</f>
        <v>-1.4805675508945095E-2</v>
      </c>
      <c r="F14" s="23">
        <f>IF(' ABFRL Financial Data'!E66=0,0,' ABFRL Financial Data'!E19/' ABFRL Financial Data'!E66)</f>
        <v>-7.2509639178224092E-3</v>
      </c>
      <c r="G14" s="23">
        <f>IF(' ABFRL Financial Data'!F66=0,0,' ABFRL Financial Data'!F19/' ABFRL Financial Data'!F66)</f>
        <v>2.9389663521750022E-2</v>
      </c>
      <c r="H14" s="23">
        <f>IF(' ABFRL Financial Data'!G66=0,0,' ABFRL Financial Data'!G19/' ABFRL Financial Data'!G66)</f>
        <v>-4.0156977274801494E-3</v>
      </c>
      <c r="I14" s="60" t="s">
        <v>38</v>
      </c>
      <c r="J14" s="59" t="s">
        <v>39</v>
      </c>
    </row>
    <row r="15" spans="2:10" ht="64.95" customHeight="1" x14ac:dyDescent="0.3">
      <c r="B15" s="18" t="s">
        <v>40</v>
      </c>
      <c r="C15" s="19" t="s">
        <v>41</v>
      </c>
      <c r="D15" s="22">
        <f>IF(' ABFRL Financial Data'!C30=0,0,' ABFRL Financial Data'!C19/' ABFRL Financial Data'!C30)</f>
        <v>0.20790729379686435</v>
      </c>
      <c r="E15" s="22">
        <f>IF(' ABFRL Financial Data'!D30=0,0,' ABFRL Financial Data'!D19/' ABFRL Financial Data'!D30)</f>
        <v>-5.5612770339855816E-2</v>
      </c>
      <c r="F15" s="22">
        <f>IF(' ABFRL Financial Data'!E30=0,0,' ABFRL Financial Data'!E19/' ABFRL Financial Data'!E30)</f>
        <v>-3.2941176470588238E-2</v>
      </c>
      <c r="G15" s="22">
        <f>IF(' ABFRL Financial Data'!F30=0,0,' ABFRL Financial Data'!F19/' ABFRL Financial Data'!F30)</f>
        <v>0.15931206155238742</v>
      </c>
      <c r="H15" s="22">
        <f>IF(' ABFRL Financial Data'!G30=0,0,' ABFRL Financial Data'!G19/' ABFRL Financial Data'!G30)</f>
        <v>-2.4251331986037111E-2</v>
      </c>
      <c r="I15" s="60" t="s">
        <v>42</v>
      </c>
      <c r="J15" s="58" t="s">
        <v>43</v>
      </c>
    </row>
    <row r="16" spans="2:10" ht="64.95" customHeight="1" x14ac:dyDescent="0.3">
      <c r="B16" s="15" t="s">
        <v>44</v>
      </c>
      <c r="C16" s="21" t="s">
        <v>45</v>
      </c>
      <c r="D16" s="23">
        <f>IF((' ABFRL Financial Data'!C66-' ABFRL Financial Data'!C45)=0,0,' ABFRL Financial Data'!C16/(' ABFRL Financial Data'!C66-' ABFRL Financial Data'!C45))</f>
        <v>0.75658502772643255</v>
      </c>
      <c r="E16" s="23">
        <f>IF((' ABFRL Financial Data'!D66-' ABFRL Financial Data'!D45)=0,0,' ABFRL Financial Data'!D16/(' ABFRL Financial Data'!D66-' ABFRL Financial Data'!D45))</f>
        <v>0.26105243480699131</v>
      </c>
      <c r="F16" s="23">
        <f>IF((' ABFRL Financial Data'!E66-' ABFRL Financial Data'!E45)=0,0,' ABFRL Financial Data'!E16/(' ABFRL Financial Data'!E66-' ABFRL Financial Data'!E45))</f>
        <v>0.46859982080312779</v>
      </c>
      <c r="G16" s="23">
        <f>IF((' ABFRL Financial Data'!F66-' ABFRL Financial Data'!F45)=0,0,' ABFRL Financial Data'!F16/(' ABFRL Financial Data'!F66-' ABFRL Financial Data'!F45))</f>
        <v>0.55899442665718013</v>
      </c>
      <c r="H16" s="23">
        <f>IF((' ABFRL Financial Data'!G66-' ABFRL Financial Data'!G45)=0,0,' ABFRL Financial Data'!G16/(' ABFRL Financial Data'!G66-' ABFRL Financial Data'!G45))</f>
        <v>0.16079322975874699</v>
      </c>
      <c r="I16" s="60" t="s">
        <v>46</v>
      </c>
      <c r="J16" s="59" t="s">
        <v>47</v>
      </c>
    </row>
    <row r="17" spans="2:10" ht="64.95" customHeight="1" x14ac:dyDescent="0.3">
      <c r="B17" s="18" t="s">
        <v>48</v>
      </c>
      <c r="C17" s="19" t="s">
        <v>49</v>
      </c>
      <c r="D17" s="22">
        <f>IF(' ABFRL Financial Data'!C5=0,0,' ABFRL Financial Data'!C74/' ABFRL Financial Data'!C5)</f>
        <v>1.0582612653618571E-2</v>
      </c>
      <c r="E17" s="22">
        <f>IF(' ABFRL Financial Data'!D5=0,0,' ABFRL Financial Data'!D74/' ABFRL Financial Data'!D5)</f>
        <v>4.7437607163269196E-2</v>
      </c>
      <c r="F17" s="22">
        <f>IF(' ABFRL Financial Data'!E5=0,0,' ABFRL Financial Data'!E74/' ABFRL Financial Data'!E5)</f>
        <v>4.8918387413962636E-2</v>
      </c>
      <c r="G17" s="22">
        <f>IF(' ABFRL Financial Data'!F5=0,0,' ABFRL Financial Data'!F74/' ABFRL Financial Data'!F5)</f>
        <v>2.0051538089869543E-2</v>
      </c>
      <c r="H17" s="22">
        <f>IF(' ABFRL Financial Data'!G5=0,0,' ABFRL Financial Data'!G74/' ABFRL Financial Data'!G5)</f>
        <v>-0.25632665735134297</v>
      </c>
      <c r="I17" s="60" t="s">
        <v>50</v>
      </c>
      <c r="J17" s="58" t="s">
        <v>51</v>
      </c>
    </row>
    <row r="18" spans="2:10" ht="19.5" customHeight="1" x14ac:dyDescent="0.3">
      <c r="B18" s="97"/>
      <c r="C18" s="97"/>
      <c r="D18" s="97"/>
      <c r="E18" s="97"/>
      <c r="F18" s="97"/>
      <c r="G18" s="97"/>
      <c r="H18" s="97"/>
      <c r="I18" s="97"/>
    </row>
    <row r="19" spans="2:10" ht="18" customHeight="1" x14ac:dyDescent="0.3">
      <c r="B19" s="103" t="s">
        <v>52</v>
      </c>
      <c r="C19" s="97"/>
      <c r="D19" s="97"/>
      <c r="E19" s="97"/>
      <c r="F19" s="97"/>
      <c r="G19" s="97"/>
      <c r="H19" s="97"/>
    </row>
    <row r="20" spans="2:10" ht="16.5" customHeight="1" x14ac:dyDescent="0.3">
      <c r="B20" s="17" t="s">
        <v>2</v>
      </c>
      <c r="C20" s="17" t="s">
        <v>3</v>
      </c>
      <c r="D20" s="17" t="s">
        <v>4</v>
      </c>
      <c r="E20" s="17" t="s">
        <v>5</v>
      </c>
      <c r="F20" s="17" t="s">
        <v>6</v>
      </c>
      <c r="G20" s="17" t="s">
        <v>7</v>
      </c>
      <c r="H20" s="17" t="s">
        <v>8</v>
      </c>
      <c r="I20" s="56" t="s">
        <v>9</v>
      </c>
      <c r="J20" s="56" t="s">
        <v>10</v>
      </c>
    </row>
    <row r="21" spans="2:10" ht="64.95" customHeight="1" x14ac:dyDescent="0.3">
      <c r="B21" s="15" t="s">
        <v>53</v>
      </c>
      <c r="C21" s="21" t="s">
        <v>54</v>
      </c>
      <c r="D21" s="24">
        <f>IF(' ABFRL Financial Data'!C66=0,0,' ABFRL Financial Data'!C5/' ABFRL Financial Data'!C66)</f>
        <v>0.68304057205036528</v>
      </c>
      <c r="E21" s="24">
        <f>IF(' ABFRL Financial Data'!D66=0,0,' ABFRL Financial Data'!D5/' ABFRL Financial Data'!D66)</f>
        <v>0.35979162382617041</v>
      </c>
      <c r="F21" s="24">
        <f>IF(' ABFRL Financial Data'!E66=0,0,' ABFRL Financial Data'!E5/' ABFRL Financial Data'!E66)</f>
        <v>0.46820509869367555</v>
      </c>
      <c r="G21" s="24">
        <f>IF(' ABFRL Financial Data'!F66=0,0,' ABFRL Financial Data'!F5/' ABFRL Financial Data'!F66)</f>
        <v>0.51841028638223263</v>
      </c>
      <c r="H21" s="24">
        <f>IF(' ABFRL Financial Data'!G66=0,0,' ABFRL Financial Data'!G5/' ABFRL Financial Data'!G66)</f>
        <v>0.19594779592954276</v>
      </c>
      <c r="I21" s="60" t="s">
        <v>55</v>
      </c>
      <c r="J21" s="58" t="s">
        <v>56</v>
      </c>
    </row>
    <row r="22" spans="2:10" ht="64.95" customHeight="1" x14ac:dyDescent="0.3">
      <c r="B22" s="18" t="s">
        <v>57</v>
      </c>
      <c r="C22" s="19" t="s">
        <v>58</v>
      </c>
      <c r="D22" s="25">
        <f>IF(' ABFRL Financial Data'!C61=0,0,' ABFRL Financial Data'!C5/' ABFRL Financial Data'!C61)</f>
        <v>12.171745152354571</v>
      </c>
      <c r="E22" s="25">
        <f>IF(' ABFRL Financial Data'!D61=0,0,' ABFRL Financial Data'!D5/' ABFRL Financial Data'!D61)</f>
        <v>8.6332236842105257</v>
      </c>
      <c r="F22" s="25">
        <f>IF(' ABFRL Financial Data'!E61=0,0,' ABFRL Financial Data'!E5/' ABFRL Financial Data'!E61)</f>
        <v>10.761904761904763</v>
      </c>
      <c r="G22" s="25">
        <f>IF(' ABFRL Financial Data'!F61=0,0,' ABFRL Financial Data'!F5/' ABFRL Financial Data'!F61)</f>
        <v>13.424864864864865</v>
      </c>
      <c r="H22" s="25">
        <f>IF(' ABFRL Financial Data'!G61=0,0,' ABFRL Financial Data'!G5/' ABFRL Financial Data'!G61)</f>
        <v>4.739514348785872</v>
      </c>
      <c r="I22" s="60" t="s">
        <v>59</v>
      </c>
      <c r="J22" s="59" t="s">
        <v>60</v>
      </c>
    </row>
    <row r="23" spans="2:10" ht="64.95" customHeight="1" x14ac:dyDescent="0.3">
      <c r="B23" s="15" t="s">
        <v>61</v>
      </c>
      <c r="C23" s="21" t="s">
        <v>62</v>
      </c>
      <c r="D23" s="26">
        <f>IF(' ABFRL Financial Data'!C61=0,0,365/(' ABFRL Financial Data'!C5/' ABFRL Financial Data'!C61))</f>
        <v>29.987482931269913</v>
      </c>
      <c r="E23" s="26">
        <f>IF(' ABFRL Financial Data'!D61=0,0,365/(' ABFRL Financial Data'!D5/' ABFRL Financial Data'!D61))</f>
        <v>42.27852924366546</v>
      </c>
      <c r="F23" s="26">
        <f>IF(' ABFRL Financial Data'!E61=0,0,365/(' ABFRL Financial Data'!E5/' ABFRL Financial Data'!E61))</f>
        <v>33.915929203539818</v>
      </c>
      <c r="G23" s="26">
        <f>IF(' ABFRL Financial Data'!F61=0,0,365/(' ABFRL Financial Data'!F5/' ABFRL Financial Data'!F61))</f>
        <v>27.1883556128201</v>
      </c>
      <c r="H23" s="26">
        <f>IF(' ABFRL Financial Data'!G61=0,0,365/(' ABFRL Financial Data'!G5/' ABFRL Financial Data'!G61))</f>
        <v>77.012109920819753</v>
      </c>
      <c r="I23" s="60" t="s">
        <v>63</v>
      </c>
      <c r="J23" s="58" t="s">
        <v>64</v>
      </c>
    </row>
    <row r="24" spans="2:10" ht="64.95" customHeight="1" x14ac:dyDescent="0.3">
      <c r="B24" s="15" t="s">
        <v>65</v>
      </c>
      <c r="C24" s="21" t="s">
        <v>66</v>
      </c>
      <c r="D24" s="24">
        <f>IF(' ABFRL Financial Data'!C60=0,0,' ABFRL Financial Data'!C8/' ABFRL Financial Data'!C60)</f>
        <v>2.0022948938611589</v>
      </c>
      <c r="E24" s="24">
        <f>IF(' ABFRL Financial Data'!D60=0,0,' ABFRL Financial Data'!D8/' ABFRL Financial Data'!D60)</f>
        <v>1.1683811586356254</v>
      </c>
      <c r="F24" s="24">
        <f>IF(' ABFRL Financial Data'!E60=0,0,' ABFRL Financial Data'!E8/' ABFRL Financial Data'!E60)</f>
        <v>1.3180887372013652</v>
      </c>
      <c r="G24" s="24">
        <f>IF(' ABFRL Financial Data'!F60=0,0,' ABFRL Financial Data'!F8/' ABFRL Financial Data'!F60)</f>
        <v>1.2672045562411012</v>
      </c>
      <c r="H24" s="24">
        <f>IF(' ABFRL Financial Data'!G60=0,0,' ABFRL Financial Data'!G8/' ABFRL Financial Data'!G60)</f>
        <v>0.5793562708102109</v>
      </c>
      <c r="I24" s="60" t="s">
        <v>67</v>
      </c>
      <c r="J24" s="59" t="s">
        <v>68</v>
      </c>
    </row>
    <row r="25" spans="2:10" ht="64.95" customHeight="1" x14ac:dyDescent="0.3">
      <c r="B25" s="18" t="s">
        <v>69</v>
      </c>
      <c r="C25" s="19" t="s">
        <v>70</v>
      </c>
      <c r="D25" s="25">
        <f>IF(' ABFRL Financial Data'!C8=0,0,365*' ABFRL Financial Data'!C60/' ABFRL Financial Data'!C8)</f>
        <v>182.29083094555875</v>
      </c>
      <c r="E25" s="25">
        <f>IF(' ABFRL Financial Data'!D8=0,0,365*' ABFRL Financial Data'!D60/' ABFRL Financial Data'!D8)</f>
        <v>312.39805375347544</v>
      </c>
      <c r="F25" s="25">
        <f>IF(' ABFRL Financial Data'!E8=0,0,365*' ABFRL Financial Data'!E60/' ABFRL Financial Data'!E8)</f>
        <v>276.91610564474365</v>
      </c>
      <c r="G25" s="25">
        <f>IF(' ABFRL Financial Data'!F8=0,0,365*' ABFRL Financial Data'!F60/' ABFRL Financial Data'!F8)</f>
        <v>288.0355805243446</v>
      </c>
      <c r="H25" s="25">
        <f>IF(' ABFRL Financial Data'!G8=0,0,365*' ABFRL Financial Data'!G60/' ABFRL Financial Data'!G8)</f>
        <v>630.00957854406136</v>
      </c>
      <c r="I25" s="60" t="s">
        <v>71</v>
      </c>
      <c r="J25" s="58" t="s">
        <v>72</v>
      </c>
    </row>
    <row r="26" spans="2:10" ht="64.95" customHeight="1" x14ac:dyDescent="0.3">
      <c r="B26" s="15" t="s">
        <v>73</v>
      </c>
      <c r="C26" s="21" t="s">
        <v>74</v>
      </c>
      <c r="D26" s="26">
        <f>IF(' ABFRL Financial Data'!C42=0,0,' ABFRL Financial Data'!C8/' ABFRL Financial Data'!C42)</f>
        <v>1.9175824175824177</v>
      </c>
      <c r="E26" s="26">
        <f>IF(' ABFRL Financial Data'!D42=0,0,' ABFRL Financial Data'!D8/' ABFRL Financial Data'!D42)</f>
        <v>1.6728682170542635</v>
      </c>
      <c r="F26" s="26">
        <f>IF(' ABFRL Financial Data'!E42=0,0,' ABFRL Financial Data'!E8/' ABFRL Financial Data'!E42)</f>
        <v>1.7962790697674418</v>
      </c>
      <c r="G26" s="26">
        <f>IF(' ABFRL Financial Data'!F42=0,0,' ABFRL Financial Data'!F8/' ABFRL Financial Data'!F42)</f>
        <v>1.6635514018691588</v>
      </c>
      <c r="H26" s="26">
        <f>IF(' ABFRL Financial Data'!G42=0,0,' ABFRL Financial Data'!G8/' ABFRL Financial Data'!G42)</f>
        <v>0.63180827886710245</v>
      </c>
      <c r="I26" s="60" t="s">
        <v>75</v>
      </c>
      <c r="J26" s="59" t="s">
        <v>76</v>
      </c>
    </row>
    <row r="27" spans="2:10" ht="64.95" customHeight="1" x14ac:dyDescent="0.3">
      <c r="B27" s="15" t="s">
        <v>77</v>
      </c>
      <c r="C27" s="21" t="s">
        <v>78</v>
      </c>
      <c r="D27" s="24">
        <f>IF(' ABFRL Financial Data'!C8=0,0,365*' ABFRL Financial Data'!C42/' ABFRL Financial Data'!C8)</f>
        <v>190.34383954154728</v>
      </c>
      <c r="E27" s="24">
        <f>IF(' ABFRL Financial Data'!D8=0,0,365*' ABFRL Financial Data'!D42/' ABFRL Financial Data'!D8)</f>
        <v>218.18813716404077</v>
      </c>
      <c r="F27" s="24">
        <f>IF(' ABFRL Financial Data'!E8=0,0,365*' ABFRL Financial Data'!E42/' ABFRL Financial Data'!E8)</f>
        <v>203.19782496116002</v>
      </c>
      <c r="G27" s="24">
        <f>IF(' ABFRL Financial Data'!F8=0,0,365*' ABFRL Financial Data'!F42/' ABFRL Financial Data'!F8)</f>
        <v>219.41011235955057</v>
      </c>
      <c r="H27" s="24">
        <f>IF(' ABFRL Financial Data'!G8=0,0,365*' ABFRL Financial Data'!G42/' ABFRL Financial Data'!G8)</f>
        <v>577.70689655172418</v>
      </c>
      <c r="I27" s="60" t="s">
        <v>79</v>
      </c>
      <c r="J27" s="58" t="s">
        <v>80</v>
      </c>
    </row>
    <row r="28" spans="2:10" ht="19.5" customHeight="1" x14ac:dyDescent="0.3">
      <c r="B28" s="97"/>
      <c r="C28" s="97"/>
      <c r="D28" s="97"/>
      <c r="E28" s="97"/>
      <c r="F28" s="97"/>
      <c r="G28" s="97"/>
      <c r="H28" s="97"/>
      <c r="I28" s="97"/>
    </row>
    <row r="29" spans="2:10" ht="18" customHeight="1" x14ac:dyDescent="0.3">
      <c r="B29" s="101" t="s">
        <v>81</v>
      </c>
      <c r="C29" s="97"/>
      <c r="D29" s="97"/>
      <c r="E29" s="97"/>
      <c r="F29" s="97"/>
      <c r="G29" s="97"/>
      <c r="H29" s="97"/>
    </row>
    <row r="30" spans="2:10" ht="16.5" customHeight="1" x14ac:dyDescent="0.3">
      <c r="B30" s="17" t="s">
        <v>2</v>
      </c>
      <c r="C30" s="17" t="s">
        <v>3</v>
      </c>
      <c r="D30" s="17" t="s">
        <v>4</v>
      </c>
      <c r="E30" s="17" t="s">
        <v>5</v>
      </c>
      <c r="F30" s="17" t="s">
        <v>6</v>
      </c>
      <c r="G30" s="17" t="s">
        <v>7</v>
      </c>
      <c r="H30" s="17" t="s">
        <v>8</v>
      </c>
      <c r="I30" s="56" t="s">
        <v>9</v>
      </c>
      <c r="J30" s="56" t="s">
        <v>10</v>
      </c>
    </row>
    <row r="31" spans="2:10" ht="64.95" customHeight="1" x14ac:dyDescent="0.3">
      <c r="B31" s="15" t="s">
        <v>82</v>
      </c>
      <c r="C31" s="21" t="s">
        <v>83</v>
      </c>
      <c r="D31" s="24">
        <f>IF(' ABFRL Financial Data'!C30=0,0,(' ABFRL Financial Data'!C32+' ABFRL Financial Data'!C39+' ABFRL Financial Data'!C40)/' ABFRL Financial Data'!C30)</f>
        <v>2.9209270620313563</v>
      </c>
      <c r="E31" s="24">
        <f>IF(' ABFRL Financial Data'!D30=0,0,(' ABFRL Financial Data'!D32+' ABFRL Financial Data'!D39+' ABFRL Financial Data'!D40)/' ABFRL Financial Data'!D30)</f>
        <v>1.2873326467559216</v>
      </c>
      <c r="F31" s="24">
        <f>IF(' ABFRL Financial Data'!E30=0,0,(' ABFRL Financial Data'!E32+' ABFRL Financial Data'!E39+' ABFRL Financial Data'!E40)/' ABFRL Financial Data'!E30)</f>
        <v>1.3660130718954249</v>
      </c>
      <c r="G31" s="24">
        <f>IF(' ABFRL Financial Data'!F30=0,0,(' ABFRL Financial Data'!F32+' ABFRL Financial Data'!F39+' ABFRL Financial Data'!F40)/' ABFRL Financial Data'!F30)</f>
        <v>1.3708983933016519</v>
      </c>
      <c r="H31" s="24">
        <f>IF(' ABFRL Financial Data'!G30=0,0,(' ABFRL Financial Data'!G32+' ABFRL Financial Data'!G39+' ABFRL Financial Data'!G40)/' ABFRL Financial Data'!G30)</f>
        <v>1.0600771633290464</v>
      </c>
      <c r="I31" s="60" t="s">
        <v>84</v>
      </c>
      <c r="J31" s="58" t="s">
        <v>85</v>
      </c>
    </row>
    <row r="32" spans="2:10" ht="64.95" customHeight="1" x14ac:dyDescent="0.3">
      <c r="B32" s="18" t="s">
        <v>86</v>
      </c>
      <c r="C32" s="19" t="s">
        <v>87</v>
      </c>
      <c r="D32" s="22">
        <f>IF(' ABFRL Financial Data'!C10=0,0,' ABFRL Financial Data'!C16/' ABFRL Financial Data'!C10)</f>
        <v>13.963752665245202</v>
      </c>
      <c r="E32" s="22">
        <f>IF(' ABFRL Financial Data'!D10=0,0,' ABFRL Financial Data'!D16/' ABFRL Financial Data'!D10)</f>
        <v>5.2698113207547168</v>
      </c>
      <c r="F32" s="22">
        <f>IF(' ABFRL Financial Data'!E10=0,0,' ABFRL Financial Data'!E16/' ABFRL Financial Data'!E10)</f>
        <v>14.789203084832906</v>
      </c>
      <c r="G32" s="22">
        <f>IF(' ABFRL Financial Data'!F10=0,0,' ABFRL Financial Data'!F16/' ABFRL Financial Data'!F10)</f>
        <v>17.589552238805972</v>
      </c>
      <c r="H32" s="22">
        <f>IF(' ABFRL Financial Data'!G10=0,0,' ABFRL Financial Data'!G16/' ABFRL Financial Data'!G10)</f>
        <v>6.4948979591836737</v>
      </c>
      <c r="I32" s="60" t="s">
        <v>88</v>
      </c>
      <c r="J32" s="59" t="s">
        <v>89</v>
      </c>
    </row>
    <row r="33" spans="2:10" ht="64.95" customHeight="1" x14ac:dyDescent="0.3">
      <c r="B33" s="15" t="s">
        <v>90</v>
      </c>
      <c r="C33" s="21" t="s">
        <v>91</v>
      </c>
      <c r="D33" s="24">
        <f>IF(' ABFRL Financial Data'!C30=0,0,' ABFRL Financial Data'!C66/' ABFRL Financial Data'!C30)</f>
        <v>8.7702794819359244</v>
      </c>
      <c r="E33" s="24">
        <f>IF(' ABFRL Financial Data'!D30=0,0,' ABFRL Financial Data'!D66/' ABFRL Financial Data'!D30)</f>
        <v>3.7561791967044282</v>
      </c>
      <c r="F33" s="24">
        <f>IF(' ABFRL Financial Data'!E30=0,0,' ABFRL Financial Data'!E66/' ABFRL Financial Data'!E30)</f>
        <v>4.5430065359477121</v>
      </c>
      <c r="G33" s="24">
        <f>IF(' ABFRL Financial Data'!F30=0,0,' ABFRL Financial Data'!F66/' ABFRL Financial Data'!F30)</f>
        <v>5.4206834125367731</v>
      </c>
      <c r="H33" s="24">
        <f>IF(' ABFRL Financial Data'!G30=0,0,' ABFRL Financial Data'!G66/' ABFRL Financial Data'!G30)</f>
        <v>6.0391328311592876</v>
      </c>
      <c r="I33" s="60" t="s">
        <v>92</v>
      </c>
      <c r="J33" s="58" t="s">
        <v>93</v>
      </c>
    </row>
    <row r="34" spans="2:10" ht="64.95" customHeight="1" x14ac:dyDescent="0.3">
      <c r="B34" s="18" t="s">
        <v>94</v>
      </c>
      <c r="C34" s="19" t="s">
        <v>95</v>
      </c>
      <c r="D34" s="25">
        <f>(' ABFRL Financial Data'!C32+' ABFRL Financial Data'!C39+' ABFRL Financial Data'!C40)-(' ABFRL Financial Data'!C62+' ABFRL Financial Data'!C59)</f>
        <v>3740</v>
      </c>
      <c r="E34" s="25">
        <f>(' ABFRL Financial Data'!D32+' ABFRL Financial Data'!D39+' ABFRL Financial Data'!D40)-(' ABFRL Financial Data'!D62+' ABFRL Financial Data'!D59)</f>
        <v>4336</v>
      </c>
      <c r="F34" s="25">
        <f>(' ABFRL Financial Data'!E32+' ABFRL Financial Data'!E39+' ABFRL Financial Data'!E40)-(' ABFRL Financial Data'!E62+' ABFRL Financial Data'!E59)</f>
        <v>4957</v>
      </c>
      <c r="G34" s="25">
        <f>(' ABFRL Financial Data'!F32+' ABFRL Financial Data'!F39+' ABFRL Financial Data'!F40)-(' ABFRL Financial Data'!F62+' ABFRL Financial Data'!F59)</f>
        <v>4828</v>
      </c>
      <c r="H34" s="25">
        <f>(' ABFRL Financial Data'!G32+' ABFRL Financial Data'!G39+' ABFRL Financial Data'!G40)-(' ABFRL Financial Data'!G62+' ABFRL Financial Data'!G59)</f>
        <v>3877</v>
      </c>
      <c r="I34" s="60" t="s">
        <v>96</v>
      </c>
      <c r="J34" s="59" t="s">
        <v>97</v>
      </c>
    </row>
    <row r="35" spans="2:10" ht="64.95" customHeight="1" x14ac:dyDescent="0.3">
      <c r="B35" s="15" t="s">
        <v>98</v>
      </c>
      <c r="C35" s="21" t="s">
        <v>98</v>
      </c>
      <c r="D35" s="16">
        <f>IF(' ABFRL Financial Data'!C14=0,0,((' ABFRL Financial Data'!C32+' ABFRL Financial Data'!C39+' ABFRL Financial Data'!C40)-(' ABFRL Financial Data'!C62+' ABFRL Financial Data'!C59))/' ABFRL Financial Data'!C14)</f>
        <v>0.50309389292440143</v>
      </c>
      <c r="E35" s="16">
        <f>IF(' ABFRL Financial Data'!D14=0,0,((' ABFRL Financial Data'!D32+' ABFRL Financial Data'!D39+' ABFRL Financial Data'!D40)-(' ABFRL Financial Data'!D62+' ABFRL Financial Data'!D59))/' ABFRL Financial Data'!D14)</f>
        <v>1.154419595314164</v>
      </c>
      <c r="F35" s="16">
        <f>IF(' ABFRL Financial Data'!E14=0,0,((' ABFRL Financial Data'!E32+' ABFRL Financial Data'!E39+' ABFRL Financial Data'!E40)-(' ABFRL Financial Data'!E62+' ABFRL Financial Data'!E59))/' ABFRL Financial Data'!E14)</f>
        <v>0.73437037037037034</v>
      </c>
      <c r="G35" s="16">
        <f>IF(' ABFRL Financial Data'!F14=0,0,((' ABFRL Financial Data'!F32+' ABFRL Financial Data'!F39+' ABFRL Financial Data'!F40)-(' ABFRL Financial Data'!F62+' ABFRL Financial Data'!F59))/' ABFRL Financial Data'!F14)</f>
        <v>0.45312060065696858</v>
      </c>
      <c r="H35" s="16">
        <f>IF(' ABFRL Financial Data'!G14=0,0,((' ABFRL Financial Data'!G32+' ABFRL Financial Data'!G39+' ABFRL Financial Data'!G40)-(' ABFRL Financial Data'!G62+' ABFRL Financial Data'!G59))/' ABFRL Financial Data'!G14)</f>
        <v>0.80169561621174523</v>
      </c>
      <c r="I35" s="60" t="s">
        <v>99</v>
      </c>
      <c r="J35" s="58" t="s">
        <v>100</v>
      </c>
    </row>
    <row r="37" spans="2:10" ht="19.5" customHeight="1" x14ac:dyDescent="0.3">
      <c r="B37" s="100" t="s">
        <v>101</v>
      </c>
      <c r="C37" s="97"/>
      <c r="D37" s="97"/>
      <c r="E37" s="97"/>
      <c r="F37" s="97"/>
      <c r="G37" s="97"/>
      <c r="H37" s="97"/>
      <c r="I37" s="97"/>
    </row>
    <row r="38" spans="2:10" ht="18" customHeight="1" x14ac:dyDescent="0.3">
      <c r="B38" s="17" t="s">
        <v>2</v>
      </c>
      <c r="C38" s="17" t="s">
        <v>3</v>
      </c>
      <c r="D38" s="17" t="s">
        <v>4</v>
      </c>
      <c r="E38" s="17" t="s">
        <v>5</v>
      </c>
      <c r="F38" s="17" t="s">
        <v>6</v>
      </c>
      <c r="G38" s="17" t="s">
        <v>7</v>
      </c>
      <c r="H38" s="17" t="s">
        <v>8</v>
      </c>
      <c r="I38" s="56" t="s">
        <v>9</v>
      </c>
      <c r="J38" s="56" t="s">
        <v>10</v>
      </c>
    </row>
    <row r="39" spans="2:10" ht="64.95" customHeight="1" x14ac:dyDescent="0.3">
      <c r="B39" s="18" t="s">
        <v>102</v>
      </c>
      <c r="C39" s="19" t="s">
        <v>103</v>
      </c>
      <c r="D39" s="20">
        <f>IF(' ABFRL Financial Data'!C19=0,0,' ABFRL Financial Data'!C72/' ABFRL Financial Data'!C19)</f>
        <v>2.1114754098360655</v>
      </c>
      <c r="E39" s="20">
        <f>IF(' ABFRL Financial Data'!D19=0,0,' ABFRL Financial Data'!D72/' ABFRL Financial Data'!D19)</f>
        <v>-5.1111111111111107</v>
      </c>
      <c r="F39" s="20">
        <f>IF(' ABFRL Financial Data'!E19=0,0,' ABFRL Financial Data'!E72/' ABFRL Financial Data'!E19)</f>
        <v>-7.5476190476190474</v>
      </c>
      <c r="G39" s="20">
        <f>IF(' ABFRL Financial Data'!F19=0,0,' ABFRL Financial Data'!F72/' ABFRL Financial Data'!F19)</f>
        <v>0.90340909090909094</v>
      </c>
      <c r="H39" s="20">
        <f>IF(' ABFRL Financial Data'!G19=0,0,' ABFRL Financial Data'!G72/' ABFRL Financial Data'!G19)</f>
        <v>-10.159090909090908</v>
      </c>
      <c r="I39" s="60" t="s">
        <v>104</v>
      </c>
      <c r="J39" s="58" t="s">
        <v>105</v>
      </c>
    </row>
    <row r="40" spans="2:10" ht="64.95" customHeight="1" x14ac:dyDescent="0.3">
      <c r="B40" s="15" t="s">
        <v>106</v>
      </c>
      <c r="C40" s="21" t="s">
        <v>107</v>
      </c>
      <c r="D40" s="23">
        <f>IF(' ABFRL Financial Data'!C5=0,0,' ABFRL Financial Data'!C73/' ABFRL Financial Data'!C5)</f>
        <v>6.2699135184342281E-2</v>
      </c>
      <c r="E40" s="23">
        <f>IF(' ABFRL Financial Data'!D5=0,0,' ABFRL Financial Data'!D73/' ABFRL Financial Data'!D5)</f>
        <v>0.16288816917508098</v>
      </c>
      <c r="F40" s="23">
        <f>IF(' ABFRL Financial Data'!E5=0,0,' ABFRL Financial Data'!E73/' ABFRL Financial Data'!E5)</f>
        <v>6.7969518190757125E-2</v>
      </c>
      <c r="G40" s="23">
        <f>IF(' ABFRL Financial Data'!F5=0,0,' ABFRL Financial Data'!F73/' ABFRL Financial Data'!F5)</f>
        <v>3.1164438717990014E-2</v>
      </c>
      <c r="H40" s="23">
        <f>IF(' ABFRL Financial Data'!G5=0,0,' ABFRL Financial Data'!G73/' ABFRL Financial Data'!G5)</f>
        <v>0.46452414221394195</v>
      </c>
      <c r="I40" s="60" t="s">
        <v>108</v>
      </c>
      <c r="J40" s="59" t="s">
        <v>109</v>
      </c>
    </row>
    <row r="41" spans="2:10" ht="15.75" customHeight="1" x14ac:dyDescent="0.3">
      <c r="B41" s="97"/>
      <c r="C41" s="97"/>
      <c r="D41" s="97"/>
      <c r="E41" s="97"/>
      <c r="F41" s="97"/>
      <c r="G41" s="97"/>
      <c r="H41" s="97"/>
    </row>
  </sheetData>
  <mergeCells count="10">
    <mergeCell ref="B18:I18"/>
    <mergeCell ref="B9:H9"/>
    <mergeCell ref="B1:H1"/>
    <mergeCell ref="B41:H41"/>
    <mergeCell ref="B2:I2"/>
    <mergeCell ref="B28:I28"/>
    <mergeCell ref="B37:I37"/>
    <mergeCell ref="B29:H29"/>
    <mergeCell ref="B3:H3"/>
    <mergeCell ref="B19:H19"/>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695C"/>
  </sheetPr>
  <dimension ref="B1:H72"/>
  <sheetViews>
    <sheetView showGridLines="0" topLeftCell="A28" zoomScaleNormal="100" workbookViewId="0">
      <selection activeCell="B34" sqref="B34"/>
    </sheetView>
  </sheetViews>
  <sheetFormatPr defaultColWidth="8.6640625" defaultRowHeight="14.4" x14ac:dyDescent="0.3"/>
  <cols>
    <col min="1" max="1" width="3" customWidth="1"/>
    <col min="2" max="2" width="42" customWidth="1"/>
    <col min="3" max="8" width="14" customWidth="1"/>
  </cols>
  <sheetData>
    <row r="1" spans="2:8" ht="21.75" customHeight="1" x14ac:dyDescent="0.3">
      <c r="B1" s="122" t="s">
        <v>214</v>
      </c>
      <c r="C1" s="97"/>
      <c r="D1" s="97"/>
      <c r="E1" s="97"/>
      <c r="F1" s="97"/>
      <c r="G1" s="97"/>
      <c r="H1" s="97"/>
    </row>
    <row r="2" spans="2:8" x14ac:dyDescent="0.3">
      <c r="B2" s="119" t="s">
        <v>215</v>
      </c>
      <c r="C2" s="97"/>
      <c r="D2" s="97"/>
      <c r="E2" s="97"/>
      <c r="F2" s="97"/>
      <c r="G2" s="97"/>
    </row>
    <row r="3" spans="2:8" ht="15.75" customHeight="1" x14ac:dyDescent="0.3">
      <c r="B3" s="124" t="s">
        <v>142</v>
      </c>
      <c r="C3" s="97"/>
      <c r="D3" s="97"/>
      <c r="E3" s="97"/>
      <c r="F3" s="97"/>
      <c r="G3" s="97"/>
      <c r="H3" s="97"/>
    </row>
    <row r="4" spans="2:8" ht="18" customHeight="1" x14ac:dyDescent="0.3">
      <c r="B4" s="27" t="s">
        <v>143</v>
      </c>
      <c r="C4" s="28" t="s">
        <v>4</v>
      </c>
      <c r="D4" s="28" t="s">
        <v>5</v>
      </c>
      <c r="E4" s="28" t="s">
        <v>6</v>
      </c>
      <c r="F4" s="28" t="s">
        <v>7</v>
      </c>
      <c r="G4" s="28" t="s">
        <v>8</v>
      </c>
    </row>
    <row r="5" spans="2:8" ht="15.75" customHeight="1" x14ac:dyDescent="0.3">
      <c r="B5" s="29" t="s">
        <v>144</v>
      </c>
      <c r="C5" s="30">
        <v>47</v>
      </c>
      <c r="D5" s="30">
        <v>39.880000000000003</v>
      </c>
      <c r="E5" s="30">
        <v>91.35</v>
      </c>
      <c r="F5" s="30">
        <v>81.44</v>
      </c>
      <c r="G5" s="30">
        <v>179.8</v>
      </c>
    </row>
    <row r="6" spans="2:8" ht="15.75" customHeight="1" x14ac:dyDescent="0.3">
      <c r="B6" s="31" t="s">
        <v>145</v>
      </c>
      <c r="C6" s="32">
        <v>0.5</v>
      </c>
      <c r="D6" s="32">
        <v>2.7</v>
      </c>
      <c r="E6" s="32">
        <v>3.15</v>
      </c>
      <c r="F6" s="32">
        <v>3.51</v>
      </c>
      <c r="G6" s="32">
        <v>1.95</v>
      </c>
    </row>
    <row r="7" spans="2:8" ht="15.75" customHeight="1" x14ac:dyDescent="0.3">
      <c r="B7" s="29" t="s">
        <v>146</v>
      </c>
      <c r="C7" s="30">
        <f>C5+C6</f>
        <v>47.5</v>
      </c>
      <c r="D7" s="30">
        <f>D5+D6</f>
        <v>42.580000000000005</v>
      </c>
      <c r="E7" s="30">
        <f>E5+E6</f>
        <v>94.5</v>
      </c>
      <c r="F7" s="30">
        <f>F5+F6</f>
        <v>84.95</v>
      </c>
      <c r="G7" s="30">
        <f>G5+G6</f>
        <v>181.75</v>
      </c>
    </row>
    <row r="8" spans="2:8" ht="15.75" customHeight="1" x14ac:dyDescent="0.3">
      <c r="B8" s="29" t="s">
        <v>216</v>
      </c>
      <c r="C8" s="30">
        <v>50</v>
      </c>
      <c r="D8" s="30">
        <v>50.27</v>
      </c>
      <c r="E8" s="30">
        <v>64.64</v>
      </c>
      <c r="F8" s="30">
        <v>69.81</v>
      </c>
      <c r="G8" s="30">
        <v>84.66</v>
      </c>
    </row>
    <row r="9" spans="2:8" ht="15.75" customHeight="1" x14ac:dyDescent="0.3">
      <c r="B9" s="33" t="s">
        <v>217</v>
      </c>
      <c r="C9" s="34">
        <v>0.5</v>
      </c>
      <c r="D9" s="34">
        <v>1.63</v>
      </c>
      <c r="E9" s="34">
        <v>0.74</v>
      </c>
      <c r="F9" s="34">
        <v>2.35</v>
      </c>
      <c r="G9" s="34">
        <v>0.71</v>
      </c>
    </row>
    <row r="10" spans="2:8" ht="15.75" customHeight="1" x14ac:dyDescent="0.3">
      <c r="B10" s="29" t="s">
        <v>218</v>
      </c>
      <c r="C10" s="30">
        <v>1</v>
      </c>
      <c r="D10" s="30">
        <v>1.38</v>
      </c>
      <c r="E10" s="30">
        <v>1.1499999999999999</v>
      </c>
      <c r="F10" s="30">
        <v>1.1000000000000001</v>
      </c>
      <c r="G10" s="30">
        <v>1.21</v>
      </c>
    </row>
    <row r="11" spans="2:8" ht="15.75" customHeight="1" x14ac:dyDescent="0.3">
      <c r="B11" s="33" t="s">
        <v>150</v>
      </c>
      <c r="C11" s="34">
        <v>4</v>
      </c>
      <c r="D11" s="34">
        <v>6</v>
      </c>
      <c r="E11" s="34">
        <v>5</v>
      </c>
      <c r="F11" s="34">
        <v>5</v>
      </c>
      <c r="G11" s="34">
        <v>6</v>
      </c>
    </row>
    <row r="12" spans="2:8" ht="15.75" customHeight="1" x14ac:dyDescent="0.3">
      <c r="B12" s="33" t="s">
        <v>152</v>
      </c>
      <c r="C12" s="34">
        <f>C8+C9+C10+C11</f>
        <v>55.5</v>
      </c>
      <c r="D12" s="34">
        <f>D8+D9+D10+D11</f>
        <v>59.280000000000008</v>
      </c>
      <c r="E12" s="34">
        <f>E8+E9+E10+E11</f>
        <v>71.53</v>
      </c>
      <c r="F12" s="34">
        <f>F8+F9+F10+F11</f>
        <v>78.259999999999991</v>
      </c>
      <c r="G12" s="34">
        <f>G8+G9+G10+G11</f>
        <v>92.579999999999984</v>
      </c>
    </row>
    <row r="13" spans="2:8" ht="15.75" customHeight="1" x14ac:dyDescent="0.3">
      <c r="B13" s="29" t="s">
        <v>153</v>
      </c>
      <c r="C13" s="30">
        <f>C7-C6-C10-C11</f>
        <v>42</v>
      </c>
      <c r="D13" s="30">
        <f>D7-D6-D10-D11</f>
        <v>32.5</v>
      </c>
      <c r="E13" s="30">
        <f>E7-E6-E10-E11</f>
        <v>85.199999999999989</v>
      </c>
      <c r="F13" s="30">
        <f>F7-F6-F10-F11</f>
        <v>75.34</v>
      </c>
      <c r="G13" s="30">
        <f>G7-G6-G10-G11</f>
        <v>172.59</v>
      </c>
    </row>
    <row r="14" spans="2:8" ht="15.75" customHeight="1" x14ac:dyDescent="0.3">
      <c r="B14" s="29" t="s">
        <v>154</v>
      </c>
      <c r="C14" s="35">
        <f>IF(C5=0,0,C13/C5)</f>
        <v>0.8936170212765957</v>
      </c>
      <c r="D14" s="35">
        <f>IF(D5=0,0,D13/D5)</f>
        <v>0.81494483450351052</v>
      </c>
      <c r="E14" s="35">
        <f>IF(E5=0,0,E13/E5)</f>
        <v>0.93267651888341541</v>
      </c>
      <c r="F14" s="35">
        <f>IF(F5=0,0,F13/F5)</f>
        <v>0.92509823182711204</v>
      </c>
      <c r="G14" s="35">
        <f>IF(G5=0,0,G13/G5)</f>
        <v>0.95989988876529475</v>
      </c>
    </row>
    <row r="15" spans="2:8" x14ac:dyDescent="0.3">
      <c r="B15" s="31" t="s">
        <v>155</v>
      </c>
      <c r="C15" s="32">
        <f>C13-C11</f>
        <v>38</v>
      </c>
      <c r="D15" s="32">
        <f>D13-D11</f>
        <v>26.5</v>
      </c>
      <c r="E15" s="32">
        <f>E13-E11</f>
        <v>80.199999999999989</v>
      </c>
      <c r="F15" s="32">
        <f>F13-F11</f>
        <v>70.34</v>
      </c>
      <c r="G15" s="32">
        <f>G13-G11</f>
        <v>166.59</v>
      </c>
    </row>
    <row r="16" spans="2:8" ht="19.5" customHeight="1" x14ac:dyDescent="0.3">
      <c r="B16" s="120" t="s">
        <v>156</v>
      </c>
      <c r="C16" s="97"/>
      <c r="D16" s="97"/>
      <c r="E16" s="97"/>
      <c r="F16" s="97"/>
      <c r="G16" s="97"/>
      <c r="H16" s="97"/>
    </row>
    <row r="17" spans="2:8" ht="18" customHeight="1" x14ac:dyDescent="0.3">
      <c r="B17" s="29" t="s">
        <v>157</v>
      </c>
      <c r="C17" s="30">
        <v>-0.4</v>
      </c>
      <c r="D17" s="30">
        <v>-0.28999999999999998</v>
      </c>
      <c r="E17" s="30">
        <v>6.14</v>
      </c>
      <c r="F17" s="30">
        <v>3.16</v>
      </c>
      <c r="G17" s="30">
        <v>24.89</v>
      </c>
    </row>
    <row r="18" spans="2:8" ht="15.75" customHeight="1" x14ac:dyDescent="0.3">
      <c r="B18" s="33" t="s">
        <v>158</v>
      </c>
      <c r="C18" s="34">
        <f>C16-C17</f>
        <v>0.4</v>
      </c>
      <c r="D18" s="34">
        <f>D16-D17</f>
        <v>0.28999999999999998</v>
      </c>
      <c r="E18" s="34">
        <f>E16-E17</f>
        <v>-6.14</v>
      </c>
      <c r="F18" s="34">
        <f>F16-F17</f>
        <v>-3.16</v>
      </c>
      <c r="G18" s="34">
        <f>G16-G17</f>
        <v>-24.89</v>
      </c>
    </row>
    <row r="19" spans="2:8" ht="15.75" customHeight="1" x14ac:dyDescent="0.3">
      <c r="B19" s="29" t="s">
        <v>159</v>
      </c>
      <c r="C19" s="35">
        <f>IF(C5=0,0,C18/C5)</f>
        <v>8.5106382978723406E-3</v>
      </c>
      <c r="D19" s="35">
        <f>IF(D5=0,0,D18/D5)</f>
        <v>7.2718154463390161E-3</v>
      </c>
      <c r="E19" s="35">
        <f>IF(E5=0,0,E18/E5)</f>
        <v>-6.7214012041598242E-2</v>
      </c>
      <c r="F19" s="35">
        <f>IF(F5=0,0,F18/F5)</f>
        <v>-3.8801571709233797E-2</v>
      </c>
      <c r="G19" s="35">
        <f>IF(G5=0,0,G18/G5)</f>
        <v>-0.13843159065628474</v>
      </c>
    </row>
    <row r="20" spans="2:8" ht="15.75" customHeight="1" x14ac:dyDescent="0.3">
      <c r="B20" s="33" t="s">
        <v>160</v>
      </c>
      <c r="C20" s="34">
        <v>-1.07</v>
      </c>
      <c r="D20" s="34">
        <v>-1.47</v>
      </c>
      <c r="E20" s="34">
        <v>3.09</v>
      </c>
      <c r="F20" s="34">
        <v>1.21</v>
      </c>
      <c r="G20" s="34">
        <v>9.94</v>
      </c>
    </row>
    <row r="21" spans="2:8" ht="15.75" customHeight="1" x14ac:dyDescent="0.3"/>
    <row r="22" spans="2:8" ht="15.75" customHeight="1" x14ac:dyDescent="0.3">
      <c r="B22" s="123" t="s">
        <v>161</v>
      </c>
      <c r="C22" s="97"/>
      <c r="D22" s="97"/>
      <c r="E22" s="97"/>
      <c r="F22" s="97"/>
      <c r="G22" s="97"/>
    </row>
    <row r="23" spans="2:8" ht="15.75" customHeight="1" x14ac:dyDescent="0.3">
      <c r="B23" s="27" t="s">
        <v>143</v>
      </c>
      <c r="C23" s="28" t="s">
        <v>4</v>
      </c>
      <c r="D23" s="28" t="s">
        <v>5</v>
      </c>
      <c r="E23" s="28" t="s">
        <v>6</v>
      </c>
      <c r="F23" s="28" t="s">
        <v>7</v>
      </c>
      <c r="G23" s="28" t="s">
        <v>8</v>
      </c>
    </row>
    <row r="24" spans="2:8" ht="15.75" customHeight="1" x14ac:dyDescent="0.3">
      <c r="B24" s="31" t="s">
        <v>162</v>
      </c>
    </row>
    <row r="25" spans="2:8" ht="15.75" customHeight="1" x14ac:dyDescent="0.3">
      <c r="B25" s="33" t="s">
        <v>163</v>
      </c>
      <c r="C25" s="34">
        <v>14</v>
      </c>
      <c r="D25" s="34">
        <v>14.14</v>
      </c>
      <c r="E25" s="34">
        <v>14.14</v>
      </c>
      <c r="F25" s="34">
        <v>14.14</v>
      </c>
      <c r="G25" s="34">
        <v>14.14</v>
      </c>
    </row>
    <row r="26" spans="2:8" ht="15.75" customHeight="1" x14ac:dyDescent="0.3">
      <c r="B26" s="31" t="s">
        <v>164</v>
      </c>
      <c r="C26" s="32">
        <v>60</v>
      </c>
      <c r="D26" s="32">
        <v>48.73</v>
      </c>
      <c r="E26" s="32">
        <v>70.849999999999994</v>
      </c>
      <c r="F26" s="32">
        <v>77.260000000000005</v>
      </c>
      <c r="G26" s="32">
        <v>145.88</v>
      </c>
    </row>
    <row r="27" spans="2:8" ht="15.75" customHeight="1" x14ac:dyDescent="0.3">
      <c r="B27" s="29" t="s">
        <v>165</v>
      </c>
      <c r="C27" s="30">
        <f>C25+C26</f>
        <v>74</v>
      </c>
      <c r="D27" s="30">
        <f>D25+D26</f>
        <v>62.87</v>
      </c>
      <c r="E27" s="30">
        <f>E25+E26</f>
        <v>84.99</v>
      </c>
      <c r="F27" s="30">
        <f>F25+F26</f>
        <v>91.4</v>
      </c>
      <c r="G27" s="30">
        <f>G25+G26</f>
        <v>160.01999999999998</v>
      </c>
    </row>
    <row r="28" spans="2:8" ht="15.75" customHeight="1" x14ac:dyDescent="0.3">
      <c r="B28" s="31" t="s">
        <v>168</v>
      </c>
    </row>
    <row r="29" spans="2:8" ht="15.75" customHeight="1" x14ac:dyDescent="0.3">
      <c r="B29" s="29" t="s">
        <v>169</v>
      </c>
      <c r="C29" s="30">
        <v>0</v>
      </c>
      <c r="D29" s="30">
        <v>0</v>
      </c>
      <c r="E29" s="30">
        <v>0</v>
      </c>
      <c r="F29" s="30">
        <v>0</v>
      </c>
      <c r="G29" s="30">
        <v>0</v>
      </c>
    </row>
    <row r="30" spans="2:8" ht="15.75" customHeight="1" x14ac:dyDescent="0.3">
      <c r="B30" s="33" t="s">
        <v>171</v>
      </c>
      <c r="C30" s="34">
        <v>0</v>
      </c>
      <c r="D30" s="34">
        <v>0</v>
      </c>
      <c r="E30" s="34">
        <v>0</v>
      </c>
      <c r="F30" s="34">
        <v>0</v>
      </c>
      <c r="G30" s="34">
        <v>0</v>
      </c>
    </row>
    <row r="31" spans="2:8" x14ac:dyDescent="0.3">
      <c r="B31" s="31" t="s">
        <v>172</v>
      </c>
      <c r="C31" s="32">
        <v>2</v>
      </c>
      <c r="D31" s="32">
        <v>0</v>
      </c>
      <c r="E31" s="32">
        <v>9.48</v>
      </c>
      <c r="F31" s="32">
        <v>9.3800000000000008</v>
      </c>
      <c r="G31" s="32">
        <v>41.75</v>
      </c>
    </row>
    <row r="32" spans="2:8" ht="19.5" customHeight="1" x14ac:dyDescent="0.3">
      <c r="B32" s="120" t="s">
        <v>173</v>
      </c>
      <c r="C32" s="97"/>
      <c r="D32" s="97"/>
      <c r="E32" s="97"/>
      <c r="F32" s="97"/>
      <c r="G32" s="97"/>
      <c r="H32" s="97"/>
    </row>
    <row r="33" spans="2:7" ht="18" customHeight="1" x14ac:dyDescent="0.3">
      <c r="B33" s="29" t="s">
        <v>174</v>
      </c>
      <c r="C33" s="30">
        <f>SUM(C29:C32)</f>
        <v>2</v>
      </c>
      <c r="D33" s="30">
        <f>SUM(D29:D32)</f>
        <v>0</v>
      </c>
      <c r="E33" s="30">
        <f>SUM(E29:E32)</f>
        <v>9.48</v>
      </c>
      <c r="F33" s="30">
        <f>SUM(F29:F32)</f>
        <v>9.3800000000000008</v>
      </c>
      <c r="G33" s="30">
        <f>SUM(G29:G32)</f>
        <v>41.75</v>
      </c>
    </row>
    <row r="34" spans="2:7" ht="15.75" customHeight="1" x14ac:dyDescent="0.3">
      <c r="B34" s="31" t="s">
        <v>175</v>
      </c>
    </row>
    <row r="35" spans="2:7" ht="15.75" customHeight="1" x14ac:dyDescent="0.3">
      <c r="B35" s="33" t="s">
        <v>176</v>
      </c>
      <c r="C35" s="34">
        <v>16</v>
      </c>
      <c r="D35" s="34">
        <v>0.9</v>
      </c>
      <c r="E35" s="34">
        <v>1.41</v>
      </c>
      <c r="F35" s="34">
        <v>3.29</v>
      </c>
      <c r="G35" s="34">
        <v>3.75</v>
      </c>
    </row>
    <row r="36" spans="2:7" ht="15.75" customHeight="1" x14ac:dyDescent="0.3">
      <c r="B36" s="31" t="s">
        <v>179</v>
      </c>
      <c r="C36" s="32">
        <v>2</v>
      </c>
      <c r="D36" s="32">
        <v>1.5</v>
      </c>
      <c r="E36" s="32">
        <v>2.8</v>
      </c>
      <c r="F36" s="32">
        <v>3.5</v>
      </c>
      <c r="G36" s="32">
        <v>5.2</v>
      </c>
    </row>
    <row r="37" spans="2:7" x14ac:dyDescent="0.3">
      <c r="B37" s="29" t="s">
        <v>180</v>
      </c>
      <c r="C37" s="30">
        <v>27</v>
      </c>
      <c r="D37" s="30">
        <v>34.78</v>
      </c>
      <c r="E37" s="30">
        <v>68.22</v>
      </c>
      <c r="F37" s="30">
        <v>1093.6300000000001</v>
      </c>
      <c r="G37" s="30">
        <v>27.33</v>
      </c>
    </row>
    <row r="38" spans="2:7" x14ac:dyDescent="0.3">
      <c r="B38" s="33" t="s">
        <v>181</v>
      </c>
      <c r="C38" s="34">
        <v>0</v>
      </c>
      <c r="D38" s="34">
        <v>0.9</v>
      </c>
      <c r="E38" s="34">
        <v>1.41</v>
      </c>
      <c r="F38" s="34">
        <v>3.29</v>
      </c>
      <c r="G38" s="34">
        <v>3.75</v>
      </c>
    </row>
    <row r="39" spans="2:7" x14ac:dyDescent="0.3">
      <c r="B39" s="29" t="s">
        <v>182</v>
      </c>
      <c r="C39" s="30">
        <f>SUM(C35:C38)</f>
        <v>45</v>
      </c>
      <c r="D39" s="30">
        <f>SUM(D35:D38)</f>
        <v>38.08</v>
      </c>
      <c r="E39" s="30">
        <f>SUM(E35:E38)</f>
        <v>73.839999999999989</v>
      </c>
      <c r="F39" s="30">
        <f>SUM(F35:F38)</f>
        <v>1103.71</v>
      </c>
      <c r="G39" s="30">
        <f>SUM(G35:G38)</f>
        <v>40.03</v>
      </c>
    </row>
    <row r="40" spans="2:7" x14ac:dyDescent="0.3">
      <c r="B40" s="31" t="s">
        <v>183</v>
      </c>
      <c r="C40" s="32">
        <f>C27+C33+C39</f>
        <v>121</v>
      </c>
      <c r="D40" s="32">
        <f>D27+D33+D39</f>
        <v>100.94999999999999</v>
      </c>
      <c r="E40" s="32">
        <f>E27+E33+E39</f>
        <v>168.31</v>
      </c>
      <c r="F40" s="32">
        <f>F27+F33+F39</f>
        <v>1204.49</v>
      </c>
      <c r="G40" s="32">
        <f>G27+G33+G39</f>
        <v>241.79999999999998</v>
      </c>
    </row>
    <row r="41" spans="2:7" x14ac:dyDescent="0.3">
      <c r="B41" s="31" t="s">
        <v>184</v>
      </c>
    </row>
    <row r="42" spans="2:7" x14ac:dyDescent="0.3">
      <c r="B42" s="29" t="s">
        <v>185</v>
      </c>
      <c r="C42" s="30">
        <v>20</v>
      </c>
      <c r="D42" s="30">
        <v>17.41</v>
      </c>
      <c r="E42" s="30">
        <v>14.12</v>
      </c>
      <c r="F42" s="30">
        <v>11.35</v>
      </c>
      <c r="G42" s="30">
        <v>9.8699999999999992</v>
      </c>
    </row>
    <row r="43" spans="2:7" x14ac:dyDescent="0.3">
      <c r="B43" s="29" t="s">
        <v>219</v>
      </c>
      <c r="C43" s="30">
        <v>0</v>
      </c>
      <c r="D43" s="30">
        <v>0</v>
      </c>
      <c r="E43" s="30">
        <v>0</v>
      </c>
      <c r="F43" s="30">
        <v>0</v>
      </c>
      <c r="G43" s="30">
        <v>0</v>
      </c>
    </row>
    <row r="44" spans="2:7" x14ac:dyDescent="0.3">
      <c r="B44" s="33" t="s">
        <v>187</v>
      </c>
      <c r="C44" s="34">
        <v>1</v>
      </c>
      <c r="D44" s="34">
        <v>0.15</v>
      </c>
      <c r="E44" s="34">
        <v>0</v>
      </c>
      <c r="F44" s="34">
        <v>0</v>
      </c>
      <c r="G44" s="34">
        <v>0</v>
      </c>
    </row>
    <row r="45" spans="2:7" x14ac:dyDescent="0.3">
      <c r="B45" s="33" t="s">
        <v>189</v>
      </c>
      <c r="C45" s="34">
        <f>SUM(C42:C44)</f>
        <v>21</v>
      </c>
      <c r="D45" s="34">
        <f>SUM(D42:D44)</f>
        <v>17.559999999999999</v>
      </c>
      <c r="E45" s="34">
        <f>SUM(E42:E44)</f>
        <v>14.12</v>
      </c>
      <c r="F45" s="34">
        <f>SUM(F42:F44)</f>
        <v>11.35</v>
      </c>
      <c r="G45" s="34">
        <f>SUM(G42:G44)</f>
        <v>9.8699999999999992</v>
      </c>
    </row>
    <row r="46" spans="2:7" x14ac:dyDescent="0.3">
      <c r="B46" s="31" t="s">
        <v>190</v>
      </c>
      <c r="C46" s="32">
        <v>5</v>
      </c>
      <c r="D46" s="32">
        <v>4.62</v>
      </c>
      <c r="E46" s="32">
        <v>12.63</v>
      </c>
      <c r="F46" s="32">
        <v>4.62</v>
      </c>
      <c r="G46" s="32">
        <v>2.77</v>
      </c>
    </row>
    <row r="47" spans="2:7" x14ac:dyDescent="0.3">
      <c r="B47" s="29" t="s">
        <v>191</v>
      </c>
      <c r="C47" s="30">
        <v>0</v>
      </c>
      <c r="D47" s="30">
        <v>0</v>
      </c>
      <c r="E47" s="30">
        <v>0</v>
      </c>
      <c r="F47" s="30">
        <v>0</v>
      </c>
      <c r="G47" s="30">
        <v>0</v>
      </c>
    </row>
    <row r="48" spans="2:7" x14ac:dyDescent="0.3">
      <c r="B48" s="33" t="s">
        <v>192</v>
      </c>
      <c r="C48" s="34">
        <v>0</v>
      </c>
      <c r="D48" s="34">
        <v>4.53</v>
      </c>
      <c r="E48" s="34">
        <v>13.28</v>
      </c>
      <c r="F48" s="34">
        <v>16.940000000000001</v>
      </c>
      <c r="G48" s="34">
        <v>38.17</v>
      </c>
    </row>
    <row r="49" spans="2:7" x14ac:dyDescent="0.3">
      <c r="B49" s="31" t="s">
        <v>193</v>
      </c>
      <c r="C49" s="32">
        <v>0</v>
      </c>
      <c r="D49" s="32">
        <v>0</v>
      </c>
      <c r="E49" s="32">
        <v>0</v>
      </c>
      <c r="F49" s="32">
        <v>0</v>
      </c>
      <c r="G49" s="32">
        <v>9.08</v>
      </c>
    </row>
    <row r="50" spans="2:7" x14ac:dyDescent="0.3">
      <c r="B50" s="31" t="s">
        <v>194</v>
      </c>
      <c r="C50" s="32">
        <f>C45+C46+C47+C48+C49</f>
        <v>26</v>
      </c>
      <c r="D50" s="32">
        <f>D45+D46+D47+D48+D49</f>
        <v>26.71</v>
      </c>
      <c r="E50" s="32">
        <f>E45+E46+E47+E48+E49</f>
        <v>40.03</v>
      </c>
      <c r="F50" s="32">
        <f>F45+F46+F47+F48+F49</f>
        <v>32.909999999999997</v>
      </c>
      <c r="G50" s="32">
        <f>G45+G46+G47+G48+G49</f>
        <v>59.89</v>
      </c>
    </row>
    <row r="51" spans="2:7" x14ac:dyDescent="0.3">
      <c r="B51" s="31" t="s">
        <v>195</v>
      </c>
    </row>
    <row r="52" spans="2:7" x14ac:dyDescent="0.3">
      <c r="B52" s="31" t="s">
        <v>220</v>
      </c>
      <c r="C52" s="32">
        <v>55</v>
      </c>
      <c r="D52" s="32">
        <v>45</v>
      </c>
      <c r="E52" s="32">
        <v>72</v>
      </c>
      <c r="F52" s="32">
        <v>1133</v>
      </c>
      <c r="G52" s="32">
        <v>92</v>
      </c>
    </row>
    <row r="53" spans="2:7" x14ac:dyDescent="0.3">
      <c r="B53" s="29" t="s">
        <v>198</v>
      </c>
      <c r="C53" s="30">
        <v>10</v>
      </c>
      <c r="D53" s="30">
        <v>20</v>
      </c>
      <c r="E53" s="30">
        <v>55</v>
      </c>
      <c r="F53" s="30">
        <v>44</v>
      </c>
      <c r="G53" s="30">
        <v>82</v>
      </c>
    </row>
    <row r="54" spans="2:7" x14ac:dyDescent="0.3">
      <c r="B54" s="29" t="s">
        <v>199</v>
      </c>
      <c r="C54" s="30">
        <v>8</v>
      </c>
      <c r="D54" s="30">
        <v>25</v>
      </c>
      <c r="E54" s="30">
        <v>30</v>
      </c>
      <c r="F54" s="30">
        <v>39</v>
      </c>
      <c r="G54" s="30">
        <v>99</v>
      </c>
    </row>
    <row r="55" spans="2:7" x14ac:dyDescent="0.3">
      <c r="B55" s="29" t="s">
        <v>200</v>
      </c>
      <c r="C55" s="30">
        <v>0</v>
      </c>
      <c r="D55" s="30">
        <v>0</v>
      </c>
      <c r="E55" s="30">
        <v>0</v>
      </c>
      <c r="F55" s="30">
        <v>0</v>
      </c>
      <c r="G55" s="30">
        <v>0</v>
      </c>
    </row>
    <row r="56" spans="2:7" x14ac:dyDescent="0.3">
      <c r="B56" s="31" t="s">
        <v>201</v>
      </c>
      <c r="C56" s="32">
        <v>20</v>
      </c>
      <c r="D56" s="32">
        <v>6.31</v>
      </c>
      <c r="E56" s="32">
        <v>5.55</v>
      </c>
      <c r="F56" s="32">
        <v>11.52</v>
      </c>
      <c r="G56" s="32">
        <v>28.16</v>
      </c>
    </row>
    <row r="57" spans="2:7" x14ac:dyDescent="0.3">
      <c r="B57" s="33" t="s">
        <v>202</v>
      </c>
      <c r="C57" s="34">
        <f>SUM(C52:C56)</f>
        <v>93</v>
      </c>
      <c r="D57" s="34">
        <f>SUM(D52:D56)</f>
        <v>96.31</v>
      </c>
      <c r="E57" s="34">
        <f>SUM(E52:E56)</f>
        <v>162.55000000000001</v>
      </c>
      <c r="F57" s="34">
        <f>SUM(F52:F56)</f>
        <v>1227.52</v>
      </c>
      <c r="G57" s="34">
        <f>SUM(G52:G56)</f>
        <v>301.16000000000003</v>
      </c>
    </row>
    <row r="58" spans="2:7" x14ac:dyDescent="0.3">
      <c r="B58" s="31" t="s">
        <v>203</v>
      </c>
      <c r="C58" s="32">
        <f>C50+C57</f>
        <v>119</v>
      </c>
      <c r="D58" s="32">
        <f>D50+D57</f>
        <v>123.02000000000001</v>
      </c>
      <c r="E58" s="32">
        <f>E50+E57</f>
        <v>202.58</v>
      </c>
      <c r="F58" s="32">
        <f>F50+F57</f>
        <v>1260.43</v>
      </c>
      <c r="G58" s="32">
        <f>G50+G57</f>
        <v>361.05</v>
      </c>
    </row>
    <row r="59" spans="2:7" x14ac:dyDescent="0.3">
      <c r="B59" s="121" t="s">
        <v>204</v>
      </c>
      <c r="C59" s="97"/>
      <c r="D59" s="97"/>
      <c r="E59" s="97"/>
      <c r="F59" s="97"/>
      <c r="G59" s="97"/>
    </row>
    <row r="60" spans="2:7" x14ac:dyDescent="0.3">
      <c r="B60" s="36" t="s">
        <v>205</v>
      </c>
      <c r="C60" s="37">
        <f>C58-C40</f>
        <v>-2</v>
      </c>
      <c r="D60" s="37">
        <f>D58-D40</f>
        <v>22.070000000000022</v>
      </c>
      <c r="E60" s="37">
        <f>E58-E40</f>
        <v>34.27000000000001</v>
      </c>
      <c r="F60" s="37">
        <f>F58-F40</f>
        <v>55.940000000000055</v>
      </c>
      <c r="G60" s="37">
        <f>G58-G40</f>
        <v>119.25000000000003</v>
      </c>
    </row>
    <row r="62" spans="2:7" ht="15.75" customHeight="1" x14ac:dyDescent="0.3">
      <c r="B62" s="125" t="s">
        <v>206</v>
      </c>
      <c r="C62" s="97"/>
      <c r="D62" s="97"/>
      <c r="E62" s="97"/>
      <c r="F62" s="97"/>
      <c r="G62" s="97"/>
    </row>
    <row r="63" spans="2:7" x14ac:dyDescent="0.3">
      <c r="B63" s="27" t="s">
        <v>143</v>
      </c>
      <c r="C63" s="28" t="s">
        <v>4</v>
      </c>
      <c r="D63" s="28" t="s">
        <v>5</v>
      </c>
      <c r="E63" s="28" t="s">
        <v>6</v>
      </c>
      <c r="F63" s="28" t="s">
        <v>7</v>
      </c>
      <c r="G63" s="28" t="s">
        <v>8</v>
      </c>
    </row>
    <row r="64" spans="2:7" x14ac:dyDescent="0.3">
      <c r="B64" s="38" t="s">
        <v>207</v>
      </c>
      <c r="C64" s="39">
        <v>12</v>
      </c>
      <c r="D64" s="39">
        <v>36</v>
      </c>
      <c r="E64" s="39">
        <v>36</v>
      </c>
      <c r="F64" s="39">
        <v>678</v>
      </c>
      <c r="G64" s="39">
        <v>-594</v>
      </c>
    </row>
    <row r="65" spans="2:7" x14ac:dyDescent="0.3">
      <c r="B65" s="33" t="s">
        <v>208</v>
      </c>
      <c r="C65" s="34">
        <v>3</v>
      </c>
      <c r="D65" s="34">
        <v>2</v>
      </c>
      <c r="E65" s="34">
        <v>1.5</v>
      </c>
      <c r="F65" s="34">
        <v>1</v>
      </c>
      <c r="G65" s="34">
        <v>3</v>
      </c>
    </row>
    <row r="66" spans="2:7" x14ac:dyDescent="0.3">
      <c r="B66" s="38" t="s">
        <v>209</v>
      </c>
      <c r="C66" s="39">
        <f>C64-C65</f>
        <v>9</v>
      </c>
      <c r="D66" s="39">
        <f>D64-D65</f>
        <v>34</v>
      </c>
      <c r="E66" s="39">
        <f>E64-E65</f>
        <v>34.5</v>
      </c>
      <c r="F66" s="39">
        <f>F64-F65</f>
        <v>677</v>
      </c>
      <c r="G66" s="39">
        <f>G64-G65</f>
        <v>-597</v>
      </c>
    </row>
    <row r="67" spans="2:7" x14ac:dyDescent="0.3">
      <c r="B67" s="38" t="s">
        <v>210</v>
      </c>
      <c r="C67" s="39">
        <v>-3</v>
      </c>
      <c r="D67" s="39">
        <v>0</v>
      </c>
      <c r="E67" s="39">
        <v>-28</v>
      </c>
      <c r="F67" s="39">
        <v>-665</v>
      </c>
      <c r="G67" s="39">
        <v>658</v>
      </c>
    </row>
    <row r="68" spans="2:7" x14ac:dyDescent="0.3">
      <c r="B68" s="33" t="s">
        <v>211</v>
      </c>
      <c r="C68" s="34">
        <v>-1</v>
      </c>
      <c r="D68" s="34">
        <v>-18</v>
      </c>
      <c r="E68" s="34">
        <v>-3</v>
      </c>
      <c r="F68" s="34">
        <v>-4</v>
      </c>
      <c r="G68" s="34">
        <v>-4</v>
      </c>
    </row>
    <row r="69" spans="2:7" x14ac:dyDescent="0.3">
      <c r="B69" s="38" t="s">
        <v>212</v>
      </c>
      <c r="C69" s="39">
        <f>C64+C67+C68</f>
        <v>8</v>
      </c>
      <c r="D69" s="39">
        <f>D64+D67+D68</f>
        <v>18</v>
      </c>
      <c r="E69" s="39">
        <f>E64+E67+E68</f>
        <v>5</v>
      </c>
      <c r="F69" s="39">
        <f>F64+F67+F68</f>
        <v>9</v>
      </c>
      <c r="G69" s="39">
        <f>G64+G67+G68</f>
        <v>60</v>
      </c>
    </row>
    <row r="70" spans="2:7" x14ac:dyDescent="0.3">
      <c r="B70" s="38" t="s">
        <v>213</v>
      </c>
      <c r="C70" s="39">
        <v>8</v>
      </c>
      <c r="D70" s="39">
        <v>25</v>
      </c>
      <c r="E70" s="39">
        <v>30</v>
      </c>
      <c r="F70" s="39">
        <v>39</v>
      </c>
      <c r="G70" s="39">
        <v>99</v>
      </c>
    </row>
    <row r="72" spans="2:7" ht="27.75" customHeight="1" x14ac:dyDescent="0.3">
      <c r="B72" s="126" t="s">
        <v>221</v>
      </c>
      <c r="C72" s="97"/>
      <c r="D72" s="97"/>
      <c r="E72" s="97"/>
      <c r="F72" s="97"/>
      <c r="G72" s="97"/>
    </row>
  </sheetData>
  <mergeCells count="9">
    <mergeCell ref="B62:G62"/>
    <mergeCell ref="B72:G72"/>
    <mergeCell ref="B2:G2"/>
    <mergeCell ref="B32:H32"/>
    <mergeCell ref="B59:G59"/>
    <mergeCell ref="B1:H1"/>
    <mergeCell ref="B22:G22"/>
    <mergeCell ref="B16:H16"/>
    <mergeCell ref="B3:H3"/>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565C0"/>
  </sheetPr>
  <dimension ref="A1:AD39"/>
  <sheetViews>
    <sheetView showGridLines="0" topLeftCell="A4" zoomScaleNormal="100" workbookViewId="0"/>
  </sheetViews>
  <sheetFormatPr defaultColWidth="8.6640625" defaultRowHeight="14.4" x14ac:dyDescent="0.3"/>
  <sheetData>
    <row r="1" spans="1:30" ht="27.75" customHeight="1" x14ac:dyDescent="0.3">
      <c r="A1" t="s">
        <v>222</v>
      </c>
      <c r="B1" t="s">
        <v>4</v>
      </c>
      <c r="C1" t="s">
        <v>5</v>
      </c>
      <c r="D1" t="s">
        <v>6</v>
      </c>
      <c r="E1" t="s">
        <v>7</v>
      </c>
      <c r="F1" t="s">
        <v>8</v>
      </c>
      <c r="H1" s="127" t="s">
        <v>223</v>
      </c>
      <c r="I1" s="97"/>
      <c r="J1" s="97"/>
      <c r="K1" s="97"/>
      <c r="L1" s="97"/>
      <c r="M1" s="97"/>
      <c r="N1" s="97"/>
      <c r="O1" s="97"/>
      <c r="P1" s="97"/>
      <c r="Q1" s="97"/>
      <c r="R1" s="97"/>
      <c r="S1" s="97"/>
      <c r="T1" s="97"/>
      <c r="U1" s="97"/>
      <c r="V1" s="97"/>
      <c r="W1" s="97"/>
      <c r="X1" s="97"/>
      <c r="Y1" s="97"/>
      <c r="Z1" s="97"/>
      <c r="AA1" s="97"/>
      <c r="AB1" s="97"/>
      <c r="AC1" s="97"/>
      <c r="AD1" s="97"/>
    </row>
    <row r="2" spans="1:30" x14ac:dyDescent="0.3">
      <c r="A2" t="s">
        <v>125</v>
      </c>
      <c r="B2">
        <v>8027</v>
      </c>
      <c r="C2">
        <v>5015</v>
      </c>
      <c r="D2">
        <v>9036</v>
      </c>
      <c r="E2">
        <v>12418</v>
      </c>
      <c r="F2">
        <v>14688</v>
      </c>
    </row>
    <row r="3" spans="1:30" x14ac:dyDescent="0.3">
      <c r="A3" t="s">
        <v>127</v>
      </c>
      <c r="B3">
        <v>-187</v>
      </c>
      <c r="C3">
        <v>-1497</v>
      </c>
      <c r="D3">
        <v>-455</v>
      </c>
      <c r="E3">
        <v>-267</v>
      </c>
      <c r="F3">
        <v>-147</v>
      </c>
    </row>
    <row r="5" spans="1:30" x14ac:dyDescent="0.3">
      <c r="A5" t="s">
        <v>222</v>
      </c>
      <c r="B5" t="s">
        <v>4</v>
      </c>
      <c r="C5" t="s">
        <v>5</v>
      </c>
      <c r="D5" t="s">
        <v>6</v>
      </c>
      <c r="E5" t="s">
        <v>7</v>
      </c>
      <c r="F5" t="s">
        <v>8</v>
      </c>
    </row>
    <row r="6" spans="1:30" x14ac:dyDescent="0.3">
      <c r="A6" t="s">
        <v>224</v>
      </c>
      <c r="B6">
        <v>15.8</v>
      </c>
      <c r="C6">
        <v>-3.15</v>
      </c>
      <c r="D6">
        <v>12.08</v>
      </c>
      <c r="E6">
        <v>13.22</v>
      </c>
      <c r="F6">
        <v>14.6</v>
      </c>
    </row>
    <row r="7" spans="1:30" x14ac:dyDescent="0.3">
      <c r="A7" t="s">
        <v>225</v>
      </c>
      <c r="B7">
        <v>-2.33</v>
      </c>
      <c r="C7">
        <v>-29.85</v>
      </c>
      <c r="D7">
        <v>-5.04</v>
      </c>
      <c r="E7">
        <v>-2.15</v>
      </c>
      <c r="F7">
        <v>-1</v>
      </c>
    </row>
    <row r="9" spans="1:30" x14ac:dyDescent="0.3">
      <c r="A9" t="s">
        <v>222</v>
      </c>
      <c r="B9" t="s">
        <v>4</v>
      </c>
      <c r="C9" t="s">
        <v>5</v>
      </c>
      <c r="D9" t="s">
        <v>6</v>
      </c>
      <c r="E9" t="s">
        <v>7</v>
      </c>
      <c r="F9" t="s">
        <v>8</v>
      </c>
    </row>
    <row r="10" spans="1:30" x14ac:dyDescent="0.3">
      <c r="A10" t="s">
        <v>226</v>
      </c>
      <c r="B10">
        <v>1.52</v>
      </c>
      <c r="C10">
        <v>1.39</v>
      </c>
      <c r="D10">
        <v>1.4</v>
      </c>
      <c r="E10">
        <v>1.24</v>
      </c>
      <c r="F10">
        <v>1.18</v>
      </c>
    </row>
    <row r="11" spans="1:30" x14ac:dyDescent="0.3">
      <c r="A11" t="s">
        <v>227</v>
      </c>
      <c r="B11">
        <v>0.31</v>
      </c>
      <c r="C11">
        <v>0.39</v>
      </c>
      <c r="D11">
        <v>0.3</v>
      </c>
      <c r="E11">
        <v>0.37</v>
      </c>
      <c r="F11">
        <v>0.35</v>
      </c>
    </row>
    <row r="13" spans="1:30" x14ac:dyDescent="0.3">
      <c r="A13" t="s">
        <v>222</v>
      </c>
      <c r="B13" t="s">
        <v>4</v>
      </c>
      <c r="C13" t="s">
        <v>5</v>
      </c>
      <c r="D13" t="s">
        <v>6</v>
      </c>
      <c r="E13" t="s">
        <v>7</v>
      </c>
      <c r="F13" t="s">
        <v>8</v>
      </c>
    </row>
    <row r="14" spans="1:30" x14ac:dyDescent="0.3">
      <c r="A14" t="s">
        <v>128</v>
      </c>
      <c r="B14">
        <v>0.94</v>
      </c>
      <c r="C14">
        <v>1.5</v>
      </c>
      <c r="D14">
        <v>1.35</v>
      </c>
      <c r="E14">
        <v>1.26</v>
      </c>
      <c r="F14">
        <v>1.1200000000000001</v>
      </c>
    </row>
    <row r="15" spans="1:30" x14ac:dyDescent="0.3">
      <c r="A15" t="s">
        <v>228</v>
      </c>
      <c r="B15">
        <v>0.56999999999999995</v>
      </c>
      <c r="C15">
        <v>-2.63</v>
      </c>
      <c r="D15">
        <v>0.02</v>
      </c>
      <c r="E15">
        <v>0.55000000000000004</v>
      </c>
      <c r="F15">
        <v>0.84</v>
      </c>
    </row>
    <row r="17" spans="1:6" x14ac:dyDescent="0.3">
      <c r="A17" t="s">
        <v>222</v>
      </c>
      <c r="B17" t="s">
        <v>4</v>
      </c>
      <c r="C17" t="s">
        <v>5</v>
      </c>
      <c r="D17" t="s">
        <v>6</v>
      </c>
      <c r="E17" t="s">
        <v>7</v>
      </c>
      <c r="F17" t="s">
        <v>8</v>
      </c>
    </row>
    <row r="18" spans="1:6" x14ac:dyDescent="0.3">
      <c r="A18" t="s">
        <v>229</v>
      </c>
      <c r="B18">
        <v>800</v>
      </c>
      <c r="C18">
        <v>-210</v>
      </c>
      <c r="D18">
        <v>680</v>
      </c>
      <c r="E18">
        <v>950</v>
      </c>
      <c r="F18">
        <v>1180</v>
      </c>
    </row>
    <row r="19" spans="1:6" x14ac:dyDescent="0.3">
      <c r="A19" t="s">
        <v>230</v>
      </c>
      <c r="B19">
        <v>-90</v>
      </c>
      <c r="C19">
        <v>-630</v>
      </c>
      <c r="D19">
        <v>0</v>
      </c>
      <c r="E19">
        <v>-150</v>
      </c>
      <c r="F19">
        <v>-170</v>
      </c>
    </row>
    <row r="22" spans="1:6" x14ac:dyDescent="0.3">
      <c r="A22" t="s">
        <v>222</v>
      </c>
      <c r="B22" t="s">
        <v>4</v>
      </c>
      <c r="C22" t="s">
        <v>5</v>
      </c>
      <c r="D22" t="s">
        <v>6</v>
      </c>
      <c r="E22" t="s">
        <v>7</v>
      </c>
      <c r="F22" t="s">
        <v>8</v>
      </c>
    </row>
    <row r="23" spans="1:6" x14ac:dyDescent="0.3">
      <c r="A23" t="s">
        <v>129</v>
      </c>
      <c r="B23">
        <v>78.5</v>
      </c>
      <c r="C23">
        <v>62.1</v>
      </c>
      <c r="D23">
        <v>143.19999999999999</v>
      </c>
      <c r="E23">
        <v>207.4</v>
      </c>
      <c r="F23">
        <v>289.60000000000002</v>
      </c>
    </row>
    <row r="24" spans="1:6" x14ac:dyDescent="0.3">
      <c r="A24" t="s">
        <v>231</v>
      </c>
      <c r="B24">
        <v>15.5</v>
      </c>
      <c r="C24">
        <v>9.4</v>
      </c>
      <c r="D24">
        <v>61.1</v>
      </c>
      <c r="E24">
        <v>90.5</v>
      </c>
      <c r="F24">
        <v>129.1</v>
      </c>
    </row>
    <row r="26" spans="1:6" x14ac:dyDescent="0.3">
      <c r="A26" t="s">
        <v>222</v>
      </c>
      <c r="B26" t="s">
        <v>4</v>
      </c>
      <c r="C26" t="s">
        <v>5</v>
      </c>
      <c r="D26" t="s">
        <v>6</v>
      </c>
      <c r="E26" t="s">
        <v>7</v>
      </c>
      <c r="F26" t="s">
        <v>8</v>
      </c>
    </row>
    <row r="27" spans="1:6" x14ac:dyDescent="0.3">
      <c r="A27" t="s">
        <v>232</v>
      </c>
      <c r="B27">
        <v>35.92</v>
      </c>
      <c r="C27">
        <v>29.79</v>
      </c>
      <c r="D27">
        <v>62.36</v>
      </c>
      <c r="E27">
        <v>61.38</v>
      </c>
      <c r="F27">
        <v>61.6</v>
      </c>
    </row>
    <row r="28" spans="1:6" x14ac:dyDescent="0.3">
      <c r="A28" t="s">
        <v>233</v>
      </c>
      <c r="B28">
        <v>19.75</v>
      </c>
      <c r="C28">
        <v>15.14</v>
      </c>
      <c r="D28">
        <v>42.67</v>
      </c>
      <c r="E28">
        <v>43.64</v>
      </c>
      <c r="F28">
        <v>44.58</v>
      </c>
    </row>
    <row r="30" spans="1:6" x14ac:dyDescent="0.3">
      <c r="A30" t="s">
        <v>222</v>
      </c>
      <c r="B30" t="s">
        <v>4</v>
      </c>
      <c r="C30" t="s">
        <v>5</v>
      </c>
      <c r="D30" t="s">
        <v>6</v>
      </c>
      <c r="E30" t="s">
        <v>7</v>
      </c>
      <c r="F30" t="s">
        <v>8</v>
      </c>
    </row>
    <row r="31" spans="1:6" x14ac:dyDescent="0.3">
      <c r="A31" t="s">
        <v>234</v>
      </c>
      <c r="B31">
        <v>20.16</v>
      </c>
      <c r="C31">
        <v>10.36</v>
      </c>
      <c r="D31">
        <v>49.47</v>
      </c>
      <c r="E31">
        <v>63.46</v>
      </c>
      <c r="F31">
        <v>54.5</v>
      </c>
    </row>
    <row r="32" spans="1:6" x14ac:dyDescent="0.3">
      <c r="A32" t="s">
        <v>235</v>
      </c>
      <c r="B32">
        <v>14.72</v>
      </c>
      <c r="C32">
        <v>8.33</v>
      </c>
      <c r="D32">
        <v>37.619999999999997</v>
      </c>
      <c r="E32">
        <v>54.03</v>
      </c>
      <c r="F32">
        <v>44.56</v>
      </c>
    </row>
    <row r="34" spans="1:6" x14ac:dyDescent="0.3">
      <c r="A34" t="s">
        <v>222</v>
      </c>
      <c r="B34" t="s">
        <v>4</v>
      </c>
      <c r="C34" t="s">
        <v>5</v>
      </c>
      <c r="D34" t="s">
        <v>6</v>
      </c>
      <c r="E34" t="s">
        <v>7</v>
      </c>
      <c r="F34" t="s">
        <v>8</v>
      </c>
    </row>
    <row r="35" spans="1:6" x14ac:dyDescent="0.3">
      <c r="A35" t="s">
        <v>236</v>
      </c>
      <c r="B35">
        <v>22.8</v>
      </c>
      <c r="C35">
        <v>15.6</v>
      </c>
      <c r="D35">
        <v>74.2</v>
      </c>
      <c r="E35">
        <v>112.8</v>
      </c>
      <c r="F35">
        <v>158.30000000000001</v>
      </c>
    </row>
    <row r="36" spans="1:6" x14ac:dyDescent="0.3">
      <c r="A36" t="s">
        <v>237</v>
      </c>
      <c r="B36">
        <v>19.600000000000001</v>
      </c>
      <c r="C36">
        <v>13.8</v>
      </c>
      <c r="D36">
        <v>71.3</v>
      </c>
      <c r="E36">
        <v>110.7</v>
      </c>
      <c r="F36">
        <v>154.5</v>
      </c>
    </row>
    <row r="38" spans="1:6" x14ac:dyDescent="0.3">
      <c r="A38" t="s">
        <v>222</v>
      </c>
      <c r="B38" t="s">
        <v>4</v>
      </c>
      <c r="C38" t="s">
        <v>5</v>
      </c>
      <c r="D38" t="s">
        <v>6</v>
      </c>
      <c r="E38" t="s">
        <v>7</v>
      </c>
      <c r="F38" t="s">
        <v>8</v>
      </c>
    </row>
    <row r="39" spans="1:6" x14ac:dyDescent="0.3">
      <c r="A39" t="s">
        <v>238</v>
      </c>
      <c r="B39">
        <v>11.14</v>
      </c>
      <c r="C39">
        <v>7.94</v>
      </c>
      <c r="D39">
        <v>38.549999999999997</v>
      </c>
      <c r="E39">
        <v>55.38</v>
      </c>
      <c r="F39">
        <v>91.68</v>
      </c>
    </row>
  </sheetData>
  <mergeCells count="1">
    <mergeCell ref="H1:AD1"/>
  </mergeCells>
  <pageMargins left="0.75" right="0.75" top="1" bottom="1" header="0.511811023622047" footer="0.511811023622047"/>
  <pageSetup paperSize="9" orientation="portrait" horizontalDpi="300" verticalDpi="30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4A148C"/>
  </sheetPr>
  <dimension ref="B1:E21"/>
  <sheetViews>
    <sheetView showGridLines="0" zoomScaleNormal="100" workbookViewId="0"/>
  </sheetViews>
  <sheetFormatPr defaultColWidth="8.6640625" defaultRowHeight="14.4" x14ac:dyDescent="0.3"/>
  <cols>
    <col min="1" max="1" width="2" customWidth="1"/>
    <col min="2" max="2" width="28" customWidth="1"/>
    <col min="3" max="3" width="52" customWidth="1"/>
    <col min="4" max="4" width="22" customWidth="1"/>
    <col min="5" max="5" width="30" customWidth="1"/>
  </cols>
  <sheetData>
    <row r="1" spans="2:5" ht="27.75" customHeight="1" x14ac:dyDescent="0.3">
      <c r="B1" s="127" t="s">
        <v>239</v>
      </c>
      <c r="C1" s="97"/>
      <c r="D1" s="97"/>
      <c r="E1" s="97"/>
    </row>
    <row r="3" spans="2:5" ht="19.5" customHeight="1" x14ac:dyDescent="0.3">
      <c r="B3" s="40" t="s">
        <v>2</v>
      </c>
      <c r="C3" s="40" t="s">
        <v>240</v>
      </c>
      <c r="D3" s="40" t="s">
        <v>241</v>
      </c>
      <c r="E3" s="40" t="s">
        <v>242</v>
      </c>
    </row>
    <row r="4" spans="2:5" ht="21.75" customHeight="1" x14ac:dyDescent="0.3">
      <c r="B4" s="129" t="s">
        <v>243</v>
      </c>
      <c r="C4" s="105"/>
      <c r="D4" s="105"/>
      <c r="E4" s="106"/>
    </row>
    <row r="5" spans="2:5" ht="54.75" customHeight="1" x14ac:dyDescent="0.3">
      <c r="B5" s="41" t="s">
        <v>244</v>
      </c>
      <c r="C5" s="41" t="s">
        <v>245</v>
      </c>
      <c r="D5" s="41" t="s">
        <v>246</v>
      </c>
      <c r="E5" s="41" t="s">
        <v>247</v>
      </c>
    </row>
    <row r="6" spans="2:5" ht="54.75" customHeight="1" x14ac:dyDescent="0.3">
      <c r="B6" s="41" t="s">
        <v>248</v>
      </c>
      <c r="C6" s="41" t="s">
        <v>249</v>
      </c>
      <c r="D6" s="41" t="s">
        <v>250</v>
      </c>
      <c r="E6" s="41" t="s">
        <v>251</v>
      </c>
    </row>
    <row r="7" spans="2:5" ht="54.75" customHeight="1" x14ac:dyDescent="0.3">
      <c r="B7" s="41" t="s">
        <v>252</v>
      </c>
      <c r="C7" s="41" t="s">
        <v>253</v>
      </c>
      <c r="D7" s="41" t="s">
        <v>254</v>
      </c>
      <c r="E7" s="41" t="s">
        <v>255</v>
      </c>
    </row>
    <row r="8" spans="2:5" ht="21.75" customHeight="1" x14ac:dyDescent="0.3">
      <c r="B8" s="128" t="s">
        <v>256</v>
      </c>
      <c r="C8" s="105"/>
      <c r="D8" s="105"/>
      <c r="E8" s="106"/>
    </row>
    <row r="9" spans="2:5" ht="54.75" customHeight="1" x14ac:dyDescent="0.3">
      <c r="B9" s="42" t="s">
        <v>257</v>
      </c>
      <c r="C9" s="42" t="s">
        <v>258</v>
      </c>
      <c r="D9" s="42" t="s">
        <v>259</v>
      </c>
      <c r="E9" s="42" t="s">
        <v>260</v>
      </c>
    </row>
    <row r="10" spans="2:5" ht="54.75" customHeight="1" x14ac:dyDescent="0.3">
      <c r="B10" s="42" t="s">
        <v>261</v>
      </c>
      <c r="C10" s="42" t="s">
        <v>262</v>
      </c>
      <c r="D10" s="42" t="s">
        <v>263</v>
      </c>
      <c r="E10" s="42" t="s">
        <v>264</v>
      </c>
    </row>
    <row r="11" spans="2:5" ht="54.75" customHeight="1" x14ac:dyDescent="0.3">
      <c r="B11" s="42" t="s">
        <v>265</v>
      </c>
      <c r="C11" s="42" t="s">
        <v>266</v>
      </c>
      <c r="D11" s="42" t="s">
        <v>267</v>
      </c>
      <c r="E11" s="42" t="s">
        <v>268</v>
      </c>
    </row>
    <row r="13" spans="2:5" ht="21.75" customHeight="1" x14ac:dyDescent="0.3">
      <c r="B13" s="129" t="s">
        <v>269</v>
      </c>
      <c r="C13" s="105"/>
      <c r="D13" s="105"/>
      <c r="E13" s="106"/>
    </row>
    <row r="14" spans="2:5" ht="54.75" customHeight="1" x14ac:dyDescent="0.3">
      <c r="B14" s="41" t="s">
        <v>270</v>
      </c>
      <c r="C14" s="41" t="s">
        <v>271</v>
      </c>
      <c r="D14" s="41" t="s">
        <v>272</v>
      </c>
      <c r="E14" s="41" t="s">
        <v>273</v>
      </c>
    </row>
    <row r="15" spans="2:5" ht="54.75" customHeight="1" x14ac:dyDescent="0.3">
      <c r="B15" s="41" t="s">
        <v>274</v>
      </c>
      <c r="C15" s="41" t="s">
        <v>275</v>
      </c>
      <c r="D15" s="41" t="s">
        <v>276</v>
      </c>
      <c r="E15" s="41" t="s">
        <v>277</v>
      </c>
    </row>
    <row r="16" spans="2:5" ht="54.75" customHeight="1" x14ac:dyDescent="0.3">
      <c r="B16" s="41" t="s">
        <v>278</v>
      </c>
      <c r="C16" s="41" t="s">
        <v>279</v>
      </c>
      <c r="D16" s="41" t="s">
        <v>280</v>
      </c>
      <c r="E16" s="41" t="s">
        <v>281</v>
      </c>
    </row>
    <row r="17" spans="2:5" ht="54.75" customHeight="1" x14ac:dyDescent="0.3">
      <c r="B17" s="41" t="s">
        <v>282</v>
      </c>
      <c r="C17" s="41" t="s">
        <v>283</v>
      </c>
      <c r="D17" s="41" t="s">
        <v>284</v>
      </c>
      <c r="E17" s="41" t="s">
        <v>285</v>
      </c>
    </row>
    <row r="18" spans="2:5" ht="21.75" customHeight="1" x14ac:dyDescent="0.3">
      <c r="B18" s="128" t="s">
        <v>286</v>
      </c>
      <c r="C18" s="105"/>
      <c r="D18" s="105"/>
      <c r="E18" s="106"/>
    </row>
    <row r="19" spans="2:5" ht="54.75" customHeight="1" x14ac:dyDescent="0.3">
      <c r="B19" s="42" t="s">
        <v>287</v>
      </c>
      <c r="C19" s="42" t="s">
        <v>288</v>
      </c>
      <c r="D19" s="42" t="s">
        <v>289</v>
      </c>
      <c r="E19" s="42" t="s">
        <v>290</v>
      </c>
    </row>
    <row r="20" spans="2:5" ht="54.75" customHeight="1" x14ac:dyDescent="0.3">
      <c r="B20" s="42" t="s">
        <v>291</v>
      </c>
      <c r="C20" s="42" t="s">
        <v>292</v>
      </c>
      <c r="D20" s="42" t="s">
        <v>293</v>
      </c>
      <c r="E20" s="42" t="s">
        <v>294</v>
      </c>
    </row>
    <row r="21" spans="2:5" ht="54.75" customHeight="1" x14ac:dyDescent="0.3">
      <c r="B21" s="42" t="s">
        <v>295</v>
      </c>
      <c r="C21" s="42" t="s">
        <v>296</v>
      </c>
      <c r="D21" s="42" t="s">
        <v>297</v>
      </c>
      <c r="E21" s="42" t="s">
        <v>298</v>
      </c>
    </row>
  </sheetData>
  <mergeCells count="5">
    <mergeCell ref="B18:E18"/>
    <mergeCell ref="B1:E1"/>
    <mergeCell ref="B8:E8"/>
    <mergeCell ref="B4:E4"/>
    <mergeCell ref="B13:E13"/>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B71C1C"/>
  </sheetPr>
  <dimension ref="A1:J41"/>
  <sheetViews>
    <sheetView showGridLines="0" zoomScaleNormal="100" workbookViewId="0"/>
  </sheetViews>
  <sheetFormatPr defaultColWidth="8.6640625" defaultRowHeight="14.4" x14ac:dyDescent="0.3"/>
  <cols>
    <col min="1" max="1" width="2" customWidth="1"/>
    <col min="2" max="2" width="22" customWidth="1"/>
    <col min="3" max="3" width="14" customWidth="1"/>
    <col min="4" max="4" width="22" customWidth="1"/>
    <col min="5" max="5" width="14" customWidth="1"/>
    <col min="6" max="6" width="22" customWidth="1"/>
    <col min="7" max="7" width="14" customWidth="1"/>
    <col min="8" max="8" width="22" customWidth="1"/>
    <col min="9" max="9" width="14" customWidth="1"/>
    <col min="10" max="10" width="2" customWidth="1"/>
  </cols>
  <sheetData>
    <row r="1" spans="1:10" ht="19.5" customHeight="1" x14ac:dyDescent="0.3">
      <c r="A1" s="141" t="s">
        <v>299</v>
      </c>
      <c r="B1" s="97"/>
      <c r="C1" s="97"/>
      <c r="D1" s="97"/>
      <c r="E1" s="97"/>
      <c r="F1" s="97"/>
      <c r="G1" s="97"/>
      <c r="H1" s="97"/>
      <c r="I1" s="97"/>
      <c r="J1" s="97"/>
    </row>
    <row r="2" spans="1:10" ht="19.5" customHeight="1" x14ac:dyDescent="0.3">
      <c r="A2" s="97"/>
      <c r="B2" s="97"/>
      <c r="C2" s="97"/>
      <c r="D2" s="97"/>
      <c r="E2" s="97"/>
      <c r="F2" s="97"/>
      <c r="G2" s="97"/>
      <c r="H2" s="97"/>
      <c r="I2" s="97"/>
      <c r="J2" s="97"/>
    </row>
    <row r="3" spans="1:10" ht="19.5" customHeight="1" x14ac:dyDescent="0.3">
      <c r="A3" s="97"/>
      <c r="B3" s="97"/>
      <c r="C3" s="97"/>
      <c r="D3" s="97"/>
      <c r="E3" s="97"/>
      <c r="F3" s="97"/>
      <c r="G3" s="97"/>
      <c r="H3" s="97"/>
      <c r="I3" s="97"/>
      <c r="J3" s="97"/>
    </row>
    <row r="4" spans="1:10" ht="15.75" customHeight="1" x14ac:dyDescent="0.3">
      <c r="A4" s="138" t="s">
        <v>300</v>
      </c>
      <c r="B4" s="97"/>
      <c r="C4" s="97"/>
      <c r="D4" s="97"/>
      <c r="E4" s="97"/>
      <c r="F4" s="97"/>
      <c r="G4" s="97"/>
      <c r="H4" s="97"/>
      <c r="I4" s="97"/>
      <c r="J4" s="97"/>
    </row>
    <row r="5" spans="1:10" ht="9.75" customHeight="1" x14ac:dyDescent="0.3"/>
    <row r="6" spans="1:10" ht="21.75" customHeight="1" x14ac:dyDescent="0.3">
      <c r="B6" s="137" t="s">
        <v>301</v>
      </c>
      <c r="C6" s="97"/>
      <c r="D6" s="97"/>
      <c r="E6" s="97"/>
      <c r="F6" s="140" t="s">
        <v>302</v>
      </c>
      <c r="G6" s="97"/>
      <c r="H6" s="97"/>
      <c r="I6" s="97"/>
    </row>
    <row r="7" spans="1:10" ht="18" customHeight="1" x14ac:dyDescent="0.3">
      <c r="B7" s="136" t="s">
        <v>303</v>
      </c>
      <c r="C7" s="106"/>
      <c r="D7" s="136" t="s">
        <v>24</v>
      </c>
      <c r="E7" s="106"/>
      <c r="F7" s="136" t="s">
        <v>303</v>
      </c>
      <c r="G7" s="106"/>
      <c r="H7" s="136" t="s">
        <v>24</v>
      </c>
      <c r="I7" s="106"/>
    </row>
    <row r="8" spans="1:10" ht="18" customHeight="1" x14ac:dyDescent="0.3">
      <c r="B8" s="130" t="s">
        <v>133</v>
      </c>
      <c r="C8" s="131"/>
      <c r="D8" s="130" t="s">
        <v>134</v>
      </c>
      <c r="E8" s="131"/>
      <c r="F8" s="130" t="s">
        <v>304</v>
      </c>
      <c r="G8" s="131"/>
      <c r="H8" s="130" t="s">
        <v>305</v>
      </c>
      <c r="I8" s="131"/>
    </row>
    <row r="9" spans="1:10" ht="18" customHeight="1" x14ac:dyDescent="0.3">
      <c r="B9" s="132"/>
      <c r="C9" s="133"/>
      <c r="D9" s="132"/>
      <c r="E9" s="133"/>
      <c r="F9" s="132"/>
      <c r="G9" s="133"/>
      <c r="H9" s="132"/>
      <c r="I9" s="133"/>
    </row>
    <row r="10" spans="1:10" ht="18" customHeight="1" x14ac:dyDescent="0.3">
      <c r="B10" s="135" t="s">
        <v>306</v>
      </c>
      <c r="C10" s="106"/>
      <c r="D10" s="135" t="s">
        <v>307</v>
      </c>
      <c r="E10" s="106"/>
      <c r="F10" s="135" t="s">
        <v>308</v>
      </c>
      <c r="G10" s="106"/>
      <c r="H10" s="135" t="s">
        <v>309</v>
      </c>
      <c r="I10" s="106"/>
    </row>
    <row r="11" spans="1:10" ht="18" customHeight="1" x14ac:dyDescent="0.3">
      <c r="B11" s="134" t="s">
        <v>310</v>
      </c>
      <c r="C11" s="106"/>
      <c r="D11" s="134" t="s">
        <v>311</v>
      </c>
      <c r="E11" s="106"/>
      <c r="F11" s="134" t="s">
        <v>312</v>
      </c>
      <c r="G11" s="106"/>
      <c r="H11" s="134" t="s">
        <v>313</v>
      </c>
      <c r="I11" s="106"/>
    </row>
    <row r="14" spans="1:10" ht="18" customHeight="1" x14ac:dyDescent="0.3">
      <c r="B14" s="136" t="s">
        <v>314</v>
      </c>
      <c r="C14" s="106"/>
      <c r="D14" s="136" t="s">
        <v>11</v>
      </c>
      <c r="E14" s="106"/>
      <c r="F14" s="136" t="s">
        <v>314</v>
      </c>
      <c r="G14" s="106"/>
      <c r="H14" s="136" t="s">
        <v>315</v>
      </c>
      <c r="I14" s="106"/>
    </row>
    <row r="15" spans="1:10" ht="18" customHeight="1" x14ac:dyDescent="0.3">
      <c r="B15" s="130" t="s">
        <v>316</v>
      </c>
      <c r="C15" s="131"/>
      <c r="D15" s="130" t="s">
        <v>317</v>
      </c>
      <c r="E15" s="131"/>
      <c r="F15" s="130" t="s">
        <v>138</v>
      </c>
      <c r="G15" s="131"/>
      <c r="H15" s="130" t="s">
        <v>139</v>
      </c>
      <c r="I15" s="131"/>
    </row>
    <row r="16" spans="1:10" ht="18" customHeight="1" x14ac:dyDescent="0.3">
      <c r="B16" s="132"/>
      <c r="C16" s="133"/>
      <c r="D16" s="132"/>
      <c r="E16" s="133"/>
      <c r="F16" s="132"/>
      <c r="G16" s="133"/>
      <c r="H16" s="132"/>
      <c r="I16" s="133"/>
    </row>
    <row r="17" spans="2:9" ht="18" customHeight="1" x14ac:dyDescent="0.3">
      <c r="B17" s="135" t="s">
        <v>318</v>
      </c>
      <c r="C17" s="106"/>
      <c r="D17" s="139" t="s">
        <v>319</v>
      </c>
      <c r="E17" s="106"/>
      <c r="F17" s="135" t="s">
        <v>320</v>
      </c>
      <c r="G17" s="106"/>
      <c r="H17" s="139" t="s">
        <v>321</v>
      </c>
      <c r="I17" s="106"/>
    </row>
    <row r="18" spans="2:9" ht="18" customHeight="1" x14ac:dyDescent="0.3">
      <c r="B18" s="134" t="s">
        <v>322</v>
      </c>
      <c r="C18" s="106"/>
      <c r="D18" s="134" t="s">
        <v>323</v>
      </c>
      <c r="E18" s="106"/>
      <c r="F18" s="134" t="s">
        <v>324</v>
      </c>
      <c r="G18" s="106"/>
      <c r="H18" s="134" t="s">
        <v>325</v>
      </c>
      <c r="I18" s="106"/>
    </row>
    <row r="21" spans="2:9" ht="18" customHeight="1" x14ac:dyDescent="0.3">
      <c r="B21" s="136" t="s">
        <v>326</v>
      </c>
      <c r="C21" s="106"/>
      <c r="D21" s="136" t="s">
        <v>86</v>
      </c>
      <c r="E21" s="106"/>
      <c r="F21" s="136" t="s">
        <v>327</v>
      </c>
      <c r="G21" s="106"/>
      <c r="H21" s="136" t="s">
        <v>86</v>
      </c>
      <c r="I21" s="106"/>
    </row>
    <row r="22" spans="2:9" ht="18" customHeight="1" x14ac:dyDescent="0.3">
      <c r="B22" s="130" t="s">
        <v>136</v>
      </c>
      <c r="C22" s="131"/>
      <c r="D22" s="130" t="s">
        <v>328</v>
      </c>
      <c r="E22" s="131"/>
      <c r="F22" s="130" t="s">
        <v>138</v>
      </c>
      <c r="G22" s="131"/>
      <c r="H22" s="130" t="s">
        <v>329</v>
      </c>
      <c r="I22" s="131"/>
    </row>
    <row r="23" spans="2:9" ht="18" customHeight="1" x14ac:dyDescent="0.3">
      <c r="B23" s="132"/>
      <c r="C23" s="133"/>
      <c r="D23" s="132"/>
      <c r="E23" s="133"/>
      <c r="F23" s="132"/>
      <c r="G23" s="133"/>
      <c r="H23" s="132"/>
      <c r="I23" s="133"/>
    </row>
    <row r="24" spans="2:9" ht="18" customHeight="1" x14ac:dyDescent="0.3">
      <c r="B24" s="139" t="s">
        <v>330</v>
      </c>
      <c r="C24" s="106"/>
      <c r="D24" s="135" t="s">
        <v>331</v>
      </c>
      <c r="E24" s="106"/>
      <c r="F24" s="139" t="s">
        <v>332</v>
      </c>
      <c r="G24" s="106"/>
      <c r="H24" s="135" t="s">
        <v>333</v>
      </c>
      <c r="I24" s="106"/>
    </row>
    <row r="25" spans="2:9" ht="18" customHeight="1" x14ac:dyDescent="0.3">
      <c r="B25" s="134" t="s">
        <v>334</v>
      </c>
      <c r="C25" s="106"/>
      <c r="D25" s="134" t="s">
        <v>335</v>
      </c>
      <c r="E25" s="106"/>
      <c r="F25" s="134" t="s">
        <v>336</v>
      </c>
      <c r="G25" s="106"/>
      <c r="H25" s="134" t="s">
        <v>337</v>
      </c>
      <c r="I25" s="106"/>
    </row>
    <row r="28" spans="2:9" ht="18" customHeight="1" x14ac:dyDescent="0.3">
      <c r="B28" s="136" t="s">
        <v>53</v>
      </c>
      <c r="C28" s="106"/>
      <c r="D28" s="136" t="s">
        <v>338</v>
      </c>
      <c r="E28" s="106"/>
      <c r="F28" s="136" t="s">
        <v>326</v>
      </c>
      <c r="G28" s="106"/>
      <c r="H28" s="136" t="s">
        <v>338</v>
      </c>
      <c r="I28" s="106"/>
    </row>
    <row r="29" spans="2:9" ht="18" customHeight="1" x14ac:dyDescent="0.3">
      <c r="B29" s="130" t="s">
        <v>339</v>
      </c>
      <c r="C29" s="131"/>
      <c r="D29" s="130" t="s">
        <v>340</v>
      </c>
      <c r="E29" s="131"/>
      <c r="F29" s="130" t="s">
        <v>341</v>
      </c>
      <c r="G29" s="131"/>
      <c r="H29" s="130" t="s">
        <v>342</v>
      </c>
      <c r="I29" s="131"/>
    </row>
    <row r="30" spans="2:9" ht="18" customHeight="1" x14ac:dyDescent="0.3">
      <c r="B30" s="132"/>
      <c r="C30" s="133"/>
      <c r="D30" s="132"/>
      <c r="E30" s="133"/>
      <c r="F30" s="132"/>
      <c r="G30" s="133"/>
      <c r="H30" s="132"/>
      <c r="I30" s="133"/>
    </row>
    <row r="31" spans="2:9" ht="18" customHeight="1" x14ac:dyDescent="0.3">
      <c r="B31" s="139" t="s">
        <v>343</v>
      </c>
      <c r="C31" s="106"/>
      <c r="D31" s="139" t="s">
        <v>344</v>
      </c>
      <c r="E31" s="106"/>
      <c r="F31" s="139" t="s">
        <v>343</v>
      </c>
      <c r="G31" s="106"/>
      <c r="H31" s="135" t="s">
        <v>345</v>
      </c>
      <c r="I31" s="106"/>
    </row>
    <row r="32" spans="2:9" ht="18" customHeight="1" x14ac:dyDescent="0.3">
      <c r="B32" s="134" t="s">
        <v>346</v>
      </c>
      <c r="C32" s="106"/>
      <c r="D32" s="134" t="s">
        <v>347</v>
      </c>
      <c r="E32" s="106"/>
      <c r="F32" s="134" t="s">
        <v>348</v>
      </c>
      <c r="G32" s="106"/>
      <c r="H32" s="134" t="s">
        <v>349</v>
      </c>
      <c r="I32" s="106"/>
    </row>
    <row r="37" spans="1:10" ht="19.5" customHeight="1" x14ac:dyDescent="0.3">
      <c r="A37" s="142" t="s">
        <v>350</v>
      </c>
      <c r="B37" s="97"/>
      <c r="C37" s="97"/>
      <c r="D37" s="97"/>
      <c r="E37" s="97"/>
      <c r="F37" s="97"/>
      <c r="G37" s="97"/>
      <c r="H37" s="97"/>
      <c r="I37" s="97"/>
      <c r="J37" s="97"/>
    </row>
    <row r="38" spans="1:10" ht="18" customHeight="1" x14ac:dyDescent="0.3">
      <c r="A38" s="143" t="s">
        <v>351</v>
      </c>
      <c r="B38" s="144"/>
      <c r="C38" s="144"/>
      <c r="D38" s="144"/>
      <c r="E38" s="144"/>
      <c r="F38" s="144"/>
      <c r="G38" s="144"/>
      <c r="H38" s="144"/>
      <c r="I38" s="144"/>
      <c r="J38" s="131"/>
    </row>
    <row r="39" spans="1:10" ht="18" customHeight="1" x14ac:dyDescent="0.3">
      <c r="A39" s="145"/>
      <c r="B39" s="97"/>
      <c r="C39" s="97"/>
      <c r="D39" s="97"/>
      <c r="E39" s="97"/>
      <c r="F39" s="97"/>
      <c r="G39" s="97"/>
      <c r="H39" s="97"/>
      <c r="I39" s="97"/>
      <c r="J39" s="146"/>
    </row>
    <row r="40" spans="1:10" ht="18" customHeight="1" x14ac:dyDescent="0.3">
      <c r="A40" s="145"/>
      <c r="B40" s="97"/>
      <c r="C40" s="97"/>
      <c r="D40" s="97"/>
      <c r="E40" s="97"/>
      <c r="F40" s="97"/>
      <c r="G40" s="97"/>
      <c r="H40" s="97"/>
      <c r="I40" s="97"/>
      <c r="J40" s="146"/>
    </row>
    <row r="41" spans="1:10" ht="18" customHeight="1" x14ac:dyDescent="0.3">
      <c r="A41" s="132"/>
      <c r="B41" s="147"/>
      <c r="C41" s="147"/>
      <c r="D41" s="147"/>
      <c r="E41" s="147"/>
      <c r="F41" s="147"/>
      <c r="G41" s="147"/>
      <c r="H41" s="147"/>
      <c r="I41" s="147"/>
      <c r="J41" s="133"/>
    </row>
  </sheetData>
  <mergeCells count="70">
    <mergeCell ref="A38:J41"/>
    <mergeCell ref="B29:C30"/>
    <mergeCell ref="D14:E14"/>
    <mergeCell ref="B32:C32"/>
    <mergeCell ref="F14:G14"/>
    <mergeCell ref="H14:I14"/>
    <mergeCell ref="A37:J37"/>
    <mergeCell ref="B24:C24"/>
    <mergeCell ref="B8:C9"/>
    <mergeCell ref="D24:E24"/>
    <mergeCell ref="H24:I24"/>
    <mergeCell ref="H18:I18"/>
    <mergeCell ref="A1:J3"/>
    <mergeCell ref="H32:I32"/>
    <mergeCell ref="H7:I7"/>
    <mergeCell ref="B10:C10"/>
    <mergeCell ref="B28:C28"/>
    <mergeCell ref="F31:G31"/>
    <mergeCell ref="D28:E28"/>
    <mergeCell ref="F15:G16"/>
    <mergeCell ref="F28:G28"/>
    <mergeCell ref="H28:I28"/>
    <mergeCell ref="D22:E23"/>
    <mergeCell ref="D18:E18"/>
    <mergeCell ref="H29:I30"/>
    <mergeCell ref="D25:E25"/>
    <mergeCell ref="H8:I9"/>
    <mergeCell ref="F17:G17"/>
    <mergeCell ref="F6:I6"/>
    <mergeCell ref="H17:I17"/>
    <mergeCell ref="H11:I11"/>
    <mergeCell ref="D29:E30"/>
    <mergeCell ref="F18:G18"/>
    <mergeCell ref="H15:I16"/>
    <mergeCell ref="F29:G30"/>
    <mergeCell ref="D32:E32"/>
    <mergeCell ref="F32:G32"/>
    <mergeCell ref="D17:E17"/>
    <mergeCell ref="B6:E6"/>
    <mergeCell ref="B15:C16"/>
    <mergeCell ref="D15:E16"/>
    <mergeCell ref="A4:J4"/>
    <mergeCell ref="B31:C31"/>
    <mergeCell ref="H31:I31"/>
    <mergeCell ref="B18:C18"/>
    <mergeCell ref="D31:E31"/>
    <mergeCell ref="F7:G7"/>
    <mergeCell ref="D21:E21"/>
    <mergeCell ref="F21:G21"/>
    <mergeCell ref="H25:I25"/>
    <mergeCell ref="B21:C21"/>
    <mergeCell ref="H21:I21"/>
    <mergeCell ref="F24:G24"/>
    <mergeCell ref="D8:E9"/>
    <mergeCell ref="B25:C25"/>
    <mergeCell ref="H22:I23"/>
    <mergeCell ref="F10:G10"/>
    <mergeCell ref="H10:I10"/>
    <mergeCell ref="F25:G25"/>
    <mergeCell ref="B11:C11"/>
    <mergeCell ref="D11:E11"/>
    <mergeCell ref="B14:C14"/>
    <mergeCell ref="B17:C17"/>
    <mergeCell ref="B22:C23"/>
    <mergeCell ref="F8:G9"/>
    <mergeCell ref="F11:G11"/>
    <mergeCell ref="F22:G23"/>
    <mergeCell ref="D10:E10"/>
    <mergeCell ref="B7:C7"/>
    <mergeCell ref="D7:E7"/>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695C"/>
  </sheetPr>
  <dimension ref="B1:J41"/>
  <sheetViews>
    <sheetView showGridLines="0" topLeftCell="A27" zoomScaleNormal="100" workbookViewId="0">
      <selection activeCell="C12" sqref="C12"/>
    </sheetView>
  </sheetViews>
  <sheetFormatPr defaultColWidth="8.6640625" defaultRowHeight="14.4" x14ac:dyDescent="0.3"/>
  <cols>
    <col min="1" max="1" width="3" customWidth="1"/>
    <col min="2" max="2" width="38" customWidth="1"/>
    <col min="3" max="3" width="44" customWidth="1"/>
    <col min="4" max="8" width="13" customWidth="1"/>
    <col min="9" max="9" width="24" customWidth="1"/>
    <col min="10" max="10" width="72" customWidth="1"/>
  </cols>
  <sheetData>
    <row r="1" spans="2:10" ht="21.75" customHeight="1" x14ac:dyDescent="0.3">
      <c r="B1" s="122" t="s">
        <v>352</v>
      </c>
      <c r="C1" s="97"/>
      <c r="D1" s="97"/>
      <c r="E1" s="97"/>
      <c r="F1" s="97"/>
      <c r="G1" s="97"/>
      <c r="H1" s="97"/>
    </row>
    <row r="2" spans="2:10" x14ac:dyDescent="0.3">
      <c r="B2" s="119" t="s">
        <v>353</v>
      </c>
      <c r="C2" s="97"/>
      <c r="D2" s="97"/>
      <c r="E2" s="97"/>
      <c r="F2" s="97"/>
      <c r="G2" s="97"/>
      <c r="H2" s="97"/>
    </row>
    <row r="3" spans="2:10" ht="19.5" customHeight="1" x14ac:dyDescent="0.3">
      <c r="B3" s="97"/>
      <c r="C3" s="97"/>
      <c r="D3" s="97"/>
      <c r="E3" s="97"/>
      <c r="F3" s="97"/>
      <c r="G3" s="97"/>
      <c r="H3" s="97"/>
      <c r="I3" s="97"/>
    </row>
    <row r="4" spans="2:10" ht="15.75" customHeight="1" x14ac:dyDescent="0.3">
      <c r="B4" s="149" t="s">
        <v>1</v>
      </c>
      <c r="C4" s="97"/>
      <c r="D4" s="97"/>
      <c r="E4" s="97"/>
      <c r="F4" s="97"/>
      <c r="G4" s="97"/>
      <c r="H4" s="97"/>
    </row>
    <row r="5" spans="2:10" ht="22.05" customHeight="1" x14ac:dyDescent="0.3">
      <c r="B5" s="27" t="s">
        <v>2</v>
      </c>
      <c r="C5" s="27" t="s">
        <v>3</v>
      </c>
      <c r="D5" s="28" t="s">
        <v>4</v>
      </c>
      <c r="E5" s="28" t="s">
        <v>5</v>
      </c>
      <c r="F5" s="28" t="s">
        <v>6</v>
      </c>
      <c r="G5" s="28" t="s">
        <v>7</v>
      </c>
      <c r="H5" s="28" t="s">
        <v>8</v>
      </c>
      <c r="I5" s="56" t="s">
        <v>9</v>
      </c>
      <c r="J5" s="56" t="s">
        <v>354</v>
      </c>
    </row>
    <row r="6" spans="2:10" ht="64.95" customHeight="1" x14ac:dyDescent="0.3">
      <c r="B6" s="43" t="s">
        <v>11</v>
      </c>
      <c r="C6" s="44" t="s">
        <v>12</v>
      </c>
      <c r="D6" s="45">
        <f>IF(' DAM Capital Financial Data'!C39=0,0,' DAM Capital Financial Data'!C57/' DAM Capital Financial Data'!C39)</f>
        <v>2.0666666666666669</v>
      </c>
      <c r="E6" s="45">
        <f>IF(' DAM Capital Financial Data'!D39=0,0,' DAM Capital Financial Data'!D57/' DAM Capital Financial Data'!D39)</f>
        <v>2.5291491596638656</v>
      </c>
      <c r="F6" s="45">
        <f>IF(' DAM Capital Financial Data'!E39=0,0,' DAM Capital Financial Data'!E57/' DAM Capital Financial Data'!E39)</f>
        <v>2.2013813651137601</v>
      </c>
      <c r="G6" s="45">
        <f>IF(' DAM Capital Financial Data'!F39=0,0,' DAM Capital Financial Data'!F57/' DAM Capital Financial Data'!F39)</f>
        <v>1.112176205706209</v>
      </c>
      <c r="H6" s="45">
        <f>IF(' DAM Capital Financial Data'!G39=0,0,' DAM Capital Financial Data'!G57/' DAM Capital Financial Data'!G39)</f>
        <v>7.523357481888584</v>
      </c>
      <c r="I6" s="61" t="s">
        <v>355</v>
      </c>
      <c r="J6" s="59" t="s">
        <v>356</v>
      </c>
    </row>
    <row r="7" spans="2:10" ht="64.95" customHeight="1" x14ac:dyDescent="0.3">
      <c r="B7" s="43" t="s">
        <v>357</v>
      </c>
      <c r="C7" s="44" t="s">
        <v>358</v>
      </c>
      <c r="D7" s="45">
        <f>IF(' DAM Capital Financial Data'!C39=0,0,(' DAM Capital Financial Data'!C57-' DAM Capital Financial Data'!C52)/' DAM Capital Financial Data'!C39)</f>
        <v>0.84444444444444444</v>
      </c>
      <c r="E7" s="45">
        <f>IF(' DAM Capital Financial Data'!D39=0,0,(' DAM Capital Financial Data'!D57-' DAM Capital Financial Data'!D52)/' DAM Capital Financial Data'!D39)</f>
        <v>1.3474264705882355</v>
      </c>
      <c r="F7" s="45">
        <f>IF(' DAM Capital Financial Data'!E39=0,0,(' DAM Capital Financial Data'!E57-' DAM Capital Financial Data'!E52)/' DAM Capital Financial Data'!E39)</f>
        <v>1.2263001083423621</v>
      </c>
      <c r="G7" s="45">
        <f>IF(' DAM Capital Financial Data'!F39=0,0,(' DAM Capital Financial Data'!F57-' DAM Capital Financial Data'!F52)/' DAM Capital Financial Data'!F39)</f>
        <v>8.5638437633073883E-2</v>
      </c>
      <c r="H7" s="45">
        <f>IF(' DAM Capital Financial Data'!G39=0,0,(' DAM Capital Financial Data'!G57-' DAM Capital Financial Data'!G52)/' DAM Capital Financial Data'!G39)</f>
        <v>5.2250811891081694</v>
      </c>
      <c r="I7" s="61" t="s">
        <v>359</v>
      </c>
      <c r="J7" s="58" t="s">
        <v>360</v>
      </c>
    </row>
    <row r="8" spans="2:10" x14ac:dyDescent="0.3">
      <c r="B8" s="43" t="s">
        <v>19</v>
      </c>
      <c r="C8" s="44" t="s">
        <v>20</v>
      </c>
      <c r="D8" s="45">
        <f>IF(' DAM Capital Financial Data'!C39=0,0,' DAM Capital Financial Data'!C54/' DAM Capital Financial Data'!C39)</f>
        <v>0.17777777777777778</v>
      </c>
      <c r="E8" s="45">
        <f>IF(' DAM Capital Financial Data'!D39=0,0,' DAM Capital Financial Data'!D54/' DAM Capital Financial Data'!D39)</f>
        <v>0.65651260504201681</v>
      </c>
      <c r="F8" s="45">
        <f>IF(' DAM Capital Financial Data'!E39=0,0,' DAM Capital Financial Data'!E54/' DAM Capital Financial Data'!E39)</f>
        <v>0.40628385698808239</v>
      </c>
      <c r="G8" s="45">
        <f>IF(' DAM Capital Financial Data'!F39=0,0,' DAM Capital Financial Data'!F54/' DAM Capital Financial Data'!F39)</f>
        <v>3.5335368892190883E-2</v>
      </c>
      <c r="H8" s="45">
        <f>IF(' DAM Capital Financial Data'!G39=0,0,' DAM Capital Financial Data'!G54/' DAM Capital Financial Data'!G39)</f>
        <v>2.4731451411441419</v>
      </c>
    </row>
    <row r="9" spans="2:10" ht="19.5" customHeight="1" x14ac:dyDescent="0.3">
      <c r="B9" s="97"/>
      <c r="C9" s="97"/>
      <c r="D9" s="97"/>
      <c r="E9" s="97"/>
      <c r="F9" s="97"/>
      <c r="G9" s="97"/>
      <c r="H9" s="97"/>
      <c r="I9" s="97"/>
    </row>
    <row r="10" spans="2:10" ht="15.75" customHeight="1" x14ac:dyDescent="0.3">
      <c r="B10" s="149" t="s">
        <v>23</v>
      </c>
      <c r="C10" s="97"/>
      <c r="D10" s="97"/>
      <c r="E10" s="97"/>
      <c r="F10" s="97"/>
      <c r="G10" s="97"/>
      <c r="H10" s="97"/>
    </row>
    <row r="11" spans="2:10" ht="22.05" customHeight="1" x14ac:dyDescent="0.3">
      <c r="B11" s="27" t="s">
        <v>2</v>
      </c>
      <c r="C11" s="27" t="s">
        <v>3</v>
      </c>
      <c r="D11" s="28" t="s">
        <v>4</v>
      </c>
      <c r="E11" s="28" t="s">
        <v>5</v>
      </c>
      <c r="F11" s="28" t="s">
        <v>6</v>
      </c>
      <c r="G11" s="28" t="s">
        <v>7</v>
      </c>
      <c r="H11" s="28" t="s">
        <v>8</v>
      </c>
      <c r="I11" s="56" t="s">
        <v>9</v>
      </c>
      <c r="J11" s="56" t="s">
        <v>354</v>
      </c>
    </row>
    <row r="12" spans="2:10" ht="64.95" customHeight="1" x14ac:dyDescent="0.3">
      <c r="B12" s="43" t="s">
        <v>24</v>
      </c>
      <c r="C12" s="44" t="s">
        <v>25</v>
      </c>
      <c r="D12" s="46">
        <f>IF(' DAM Capital Financial Data'!C5=0,0,' DAM Capital Financial Data'!C13/' DAM Capital Financial Data'!C5)</f>
        <v>0.8936170212765957</v>
      </c>
      <c r="E12" s="46">
        <f>IF(' DAM Capital Financial Data'!D5=0,0,' DAM Capital Financial Data'!D13/' DAM Capital Financial Data'!D5)</f>
        <v>0.81494483450351052</v>
      </c>
      <c r="F12" s="46">
        <f>IF(' DAM Capital Financial Data'!E5=0,0,' DAM Capital Financial Data'!E13/' DAM Capital Financial Data'!E5)</f>
        <v>0.93267651888341541</v>
      </c>
      <c r="G12" s="46">
        <f>IF(' DAM Capital Financial Data'!F5=0,0,' DAM Capital Financial Data'!F13/' DAM Capital Financial Data'!F5)</f>
        <v>0.92509823182711204</v>
      </c>
      <c r="H12" s="46">
        <f>IF(' DAM Capital Financial Data'!G5=0,0,' DAM Capital Financial Data'!G13/' DAM Capital Financial Data'!G5)</f>
        <v>0.95989988876529475</v>
      </c>
      <c r="I12" s="61" t="s">
        <v>361</v>
      </c>
      <c r="J12" s="59" t="s">
        <v>362</v>
      </c>
    </row>
    <row r="13" spans="2:10" ht="64.95" customHeight="1" x14ac:dyDescent="0.3">
      <c r="B13" s="43" t="s">
        <v>28</v>
      </c>
      <c r="C13" s="44" t="s">
        <v>29</v>
      </c>
      <c r="D13" s="46">
        <f>IF(' DAM Capital Financial Data'!C5=0,0,' DAM Capital Financial Data'!C15/' DAM Capital Financial Data'!C5)</f>
        <v>0.80851063829787229</v>
      </c>
      <c r="E13" s="46">
        <f>IF(' DAM Capital Financial Data'!D5=0,0,' DAM Capital Financial Data'!D15/' DAM Capital Financial Data'!D5)</f>
        <v>0.66449348044132395</v>
      </c>
      <c r="F13" s="46">
        <f>IF(' DAM Capital Financial Data'!E5=0,0,' DAM Capital Financial Data'!E15/' DAM Capital Financial Data'!E5)</f>
        <v>0.87794198139025714</v>
      </c>
      <c r="G13" s="46">
        <f>IF(' DAM Capital Financial Data'!F5=0,0,' DAM Capital Financial Data'!F15/' DAM Capital Financial Data'!F5)</f>
        <v>0.86370333988212189</v>
      </c>
      <c r="H13" s="46">
        <f>IF(' DAM Capital Financial Data'!G5=0,0,' DAM Capital Financial Data'!G15/' DAM Capital Financial Data'!G5)</f>
        <v>0.92652947719688539</v>
      </c>
      <c r="I13" s="61" t="s">
        <v>363</v>
      </c>
      <c r="J13" s="58" t="s">
        <v>364</v>
      </c>
    </row>
    <row r="14" spans="2:10" ht="64.95" customHeight="1" x14ac:dyDescent="0.3">
      <c r="B14" s="43" t="s">
        <v>32</v>
      </c>
      <c r="C14" s="44" t="s">
        <v>365</v>
      </c>
      <c r="D14" s="46">
        <f>IF(' DAM Capital Financial Data'!C5=0,0,' DAM Capital Financial Data'!C18/' DAM Capital Financial Data'!C5)</f>
        <v>8.5106382978723406E-3</v>
      </c>
      <c r="E14" s="46">
        <f>IF(' DAM Capital Financial Data'!D5=0,0,' DAM Capital Financial Data'!D18/' DAM Capital Financial Data'!D5)</f>
        <v>7.2718154463390161E-3</v>
      </c>
      <c r="F14" s="46">
        <f>IF(' DAM Capital Financial Data'!E5=0,0,' DAM Capital Financial Data'!E18/' DAM Capital Financial Data'!E5)</f>
        <v>-6.7214012041598242E-2</v>
      </c>
      <c r="G14" s="46">
        <f>IF(' DAM Capital Financial Data'!F5=0,0,' DAM Capital Financial Data'!F18/' DAM Capital Financial Data'!F5)</f>
        <v>-3.8801571709233797E-2</v>
      </c>
      <c r="H14" s="46">
        <f>IF(' DAM Capital Financial Data'!G5=0,0,' DAM Capital Financial Data'!G18/' DAM Capital Financial Data'!G5)</f>
        <v>-0.13843159065628474</v>
      </c>
      <c r="I14" s="61" t="s">
        <v>366</v>
      </c>
      <c r="J14" s="59" t="s">
        <v>367</v>
      </c>
    </row>
    <row r="15" spans="2:10" ht="64.95" customHeight="1" x14ac:dyDescent="0.3">
      <c r="B15" s="43" t="s">
        <v>36</v>
      </c>
      <c r="C15" s="44" t="s">
        <v>368</v>
      </c>
      <c r="D15" s="46">
        <f>IF(' DAM Capital Financial Data'!C58=0,0,' DAM Capital Financial Data'!C18/' DAM Capital Financial Data'!C58)</f>
        <v>3.3613445378151263E-3</v>
      </c>
      <c r="E15" s="46">
        <f>IF(' DAM Capital Financial Data'!D58=0,0,' DAM Capital Financial Data'!D18/' DAM Capital Financial Data'!D58)</f>
        <v>2.3573402698748168E-3</v>
      </c>
      <c r="F15" s="46">
        <f>IF(' DAM Capital Financial Data'!E58=0,0,' DAM Capital Financial Data'!E18/' DAM Capital Financial Data'!E58)</f>
        <v>-3.0309013722973635E-2</v>
      </c>
      <c r="G15" s="46">
        <f>IF(' DAM Capital Financial Data'!F58=0,0,' DAM Capital Financial Data'!F18/' DAM Capital Financial Data'!F58)</f>
        <v>-2.5070809168299705E-3</v>
      </c>
      <c r="H15" s="46">
        <f>IF(' DAM Capital Financial Data'!G58=0,0,' DAM Capital Financial Data'!G18/' DAM Capital Financial Data'!G58)</f>
        <v>-6.8937820246503259E-2</v>
      </c>
      <c r="I15" s="61" t="s">
        <v>369</v>
      </c>
      <c r="J15" s="58" t="s">
        <v>370</v>
      </c>
    </row>
    <row r="16" spans="2:10" ht="64.95" customHeight="1" x14ac:dyDescent="0.3">
      <c r="B16" s="43" t="s">
        <v>40</v>
      </c>
      <c r="C16" s="44" t="s">
        <v>371</v>
      </c>
      <c r="D16" s="46">
        <f>IF(' DAM Capital Financial Data'!C27=0,0,' DAM Capital Financial Data'!C18/' DAM Capital Financial Data'!C27)</f>
        <v>5.4054054054054057E-3</v>
      </c>
      <c r="E16" s="46">
        <f>IF(' DAM Capital Financial Data'!D27=0,0,' DAM Capital Financial Data'!D18/' DAM Capital Financial Data'!D27)</f>
        <v>4.6126928582789885E-3</v>
      </c>
      <c r="F16" s="46">
        <f>IF(' DAM Capital Financial Data'!E27=0,0,' DAM Capital Financial Data'!E18/' DAM Capital Financial Data'!E27)</f>
        <v>-7.2243793387457345E-2</v>
      </c>
      <c r="G16" s="46">
        <f>IF(' DAM Capital Financial Data'!F27=0,0,' DAM Capital Financial Data'!F18/' DAM Capital Financial Data'!F27)</f>
        <v>-3.4573304157549237E-2</v>
      </c>
      <c r="H16" s="46">
        <f>IF(' DAM Capital Financial Data'!G27=0,0,' DAM Capital Financial Data'!G18/' DAM Capital Financial Data'!G27)</f>
        <v>-0.15554305711786029</v>
      </c>
      <c r="I16" s="61" t="s">
        <v>372</v>
      </c>
      <c r="J16" s="59" t="s">
        <v>373</v>
      </c>
    </row>
    <row r="17" spans="2:10" ht="64.95" customHeight="1" x14ac:dyDescent="0.3">
      <c r="B17" s="43" t="s">
        <v>44</v>
      </c>
      <c r="C17" s="44" t="s">
        <v>45</v>
      </c>
      <c r="D17" s="46">
        <f>IF((' DAM Capital Financial Data'!C58-' DAM Capital Financial Data'!C39)=0,0,' DAM Capital Financial Data'!C15/(' DAM Capital Financial Data'!C58-' DAM Capital Financial Data'!C39))</f>
        <v>0.51351351351351349</v>
      </c>
      <c r="E17" s="46">
        <f>IF((' DAM Capital Financial Data'!D58-' DAM Capital Financial Data'!D39)=0,0,' DAM Capital Financial Data'!D15/(' DAM Capital Financial Data'!D58-' DAM Capital Financial Data'!D39))</f>
        <v>0.31198493053920412</v>
      </c>
      <c r="F17" s="46">
        <f>IF((' DAM Capital Financial Data'!E58-' DAM Capital Financial Data'!E39)=0,0,' DAM Capital Financial Data'!E15/(' DAM Capital Financial Data'!E58-' DAM Capital Financial Data'!E39))</f>
        <v>0.62296100668013032</v>
      </c>
      <c r="G17" s="46">
        <f>IF((' DAM Capital Financial Data'!F58-' DAM Capital Financial Data'!F39)=0,0,' DAM Capital Financial Data'!F15/(' DAM Capital Financial Data'!F58-' DAM Capital Financial Data'!F39))</f>
        <v>0.44882593159775391</v>
      </c>
      <c r="H17" s="46">
        <f>IF((' DAM Capital Financial Data'!G58-' DAM Capital Financial Data'!G39)=0,0,' DAM Capital Financial Data'!G15/(' DAM Capital Financial Data'!G58-' DAM Capital Financial Data'!G39))</f>
        <v>0.51893962992959941</v>
      </c>
      <c r="I17" s="61" t="s">
        <v>374</v>
      </c>
      <c r="J17" s="58" t="s">
        <v>375</v>
      </c>
    </row>
    <row r="18" spans="2:10" ht="64.95" customHeight="1" x14ac:dyDescent="0.3">
      <c r="B18" s="43" t="s">
        <v>48</v>
      </c>
      <c r="C18" s="44" t="s">
        <v>49</v>
      </c>
      <c r="D18" s="46">
        <f>IF(' DAM Capital Financial Data'!C5=0,0,' DAM Capital Financial Data'!C66/' DAM Capital Financial Data'!C5)</f>
        <v>0.19148936170212766</v>
      </c>
      <c r="E18" s="46">
        <f>IF(' DAM Capital Financial Data'!D5=0,0,' DAM Capital Financial Data'!D66/' DAM Capital Financial Data'!D5)</f>
        <v>0.85255767301905716</v>
      </c>
      <c r="F18" s="46">
        <f>IF(' DAM Capital Financial Data'!E5=0,0,' DAM Capital Financial Data'!E66/' DAM Capital Financial Data'!E5)</f>
        <v>0.3776683087027915</v>
      </c>
      <c r="G18" s="46">
        <f>IF(' DAM Capital Financial Data'!F5=0,0,' DAM Capital Financial Data'!F66/' DAM Capital Financial Data'!F5)</f>
        <v>8.3128683693516709</v>
      </c>
      <c r="H18" s="46">
        <f>IF(' DAM Capital Financial Data'!G5=0,0,' DAM Capital Financial Data'!G66/' DAM Capital Financial Data'!G5)</f>
        <v>-3.3203559510567295</v>
      </c>
      <c r="I18" s="61" t="s">
        <v>376</v>
      </c>
      <c r="J18" s="59" t="s">
        <v>377</v>
      </c>
    </row>
    <row r="20" spans="2:10" ht="15.75" customHeight="1" x14ac:dyDescent="0.3">
      <c r="B20" s="149" t="s">
        <v>52</v>
      </c>
      <c r="C20" s="97"/>
      <c r="D20" s="97"/>
      <c r="E20" s="97"/>
      <c r="F20" s="97"/>
      <c r="G20" s="97"/>
      <c r="H20" s="97"/>
      <c r="I20" s="97"/>
    </row>
    <row r="21" spans="2:10" ht="22.05" customHeight="1" x14ac:dyDescent="0.3">
      <c r="B21" s="27" t="s">
        <v>2</v>
      </c>
      <c r="C21" s="27" t="s">
        <v>3</v>
      </c>
      <c r="D21" s="28" t="s">
        <v>4</v>
      </c>
      <c r="E21" s="28" t="s">
        <v>5</v>
      </c>
      <c r="F21" s="28" t="s">
        <v>6</v>
      </c>
      <c r="G21" s="28" t="s">
        <v>7</v>
      </c>
      <c r="H21" s="28" t="s">
        <v>8</v>
      </c>
      <c r="I21" s="56" t="s">
        <v>9</v>
      </c>
      <c r="J21" s="56" t="s">
        <v>354</v>
      </c>
    </row>
    <row r="22" spans="2:10" ht="64.95" customHeight="1" x14ac:dyDescent="0.3">
      <c r="B22" s="43" t="s">
        <v>53</v>
      </c>
      <c r="C22" s="44" t="s">
        <v>54</v>
      </c>
      <c r="D22" s="45">
        <f>IF(' DAM Capital Financial Data'!C58=0,0,' DAM Capital Financial Data'!C5/' DAM Capital Financial Data'!C58)</f>
        <v>0.3949579831932773</v>
      </c>
      <c r="E22" s="45">
        <f>IF(' DAM Capital Financial Data'!D58=0,0,' DAM Capital Financial Data'!D5/' DAM Capital Financial Data'!D58)</f>
        <v>0.32417493090554383</v>
      </c>
      <c r="F22" s="45">
        <f>IF(' DAM Capital Financial Data'!E58=0,0,' DAM Capital Financial Data'!E5/' DAM Capital Financial Data'!E58)</f>
        <v>0.45093296475466477</v>
      </c>
      <c r="G22" s="45">
        <f>IF(' DAM Capital Financial Data'!F58=0,0,' DAM Capital Financial Data'!F5/' DAM Capital Financial Data'!F58)</f>
        <v>6.4612870210959752E-2</v>
      </c>
      <c r="H22" s="45">
        <f>IF(' DAM Capital Financial Data'!G58=0,0,' DAM Capital Financial Data'!G5/' DAM Capital Financial Data'!G58)</f>
        <v>0.49799196787148597</v>
      </c>
      <c r="I22" s="61" t="s">
        <v>378</v>
      </c>
      <c r="J22" s="59" t="s">
        <v>379</v>
      </c>
    </row>
    <row r="23" spans="2:10" ht="64.95" customHeight="1" x14ac:dyDescent="0.3">
      <c r="B23" s="43" t="s">
        <v>57</v>
      </c>
      <c r="C23" s="44" t="s">
        <v>58</v>
      </c>
      <c r="D23" s="45">
        <f>IF(' DAM Capital Financial Data'!C53=0,0,' DAM Capital Financial Data'!C5/' DAM Capital Financial Data'!C53)</f>
        <v>4.7</v>
      </c>
      <c r="E23" s="45">
        <f>IF(' DAM Capital Financial Data'!D53=0,0,' DAM Capital Financial Data'!D5/' DAM Capital Financial Data'!D53)</f>
        <v>1.9940000000000002</v>
      </c>
      <c r="F23" s="45">
        <f>IF(' DAM Capital Financial Data'!E53=0,0,' DAM Capital Financial Data'!E5/' DAM Capital Financial Data'!E53)</f>
        <v>1.6609090909090909</v>
      </c>
      <c r="G23" s="45">
        <f>IF(' DAM Capital Financial Data'!F53=0,0,' DAM Capital Financial Data'!F5/' DAM Capital Financial Data'!F53)</f>
        <v>1.8509090909090908</v>
      </c>
      <c r="H23" s="45">
        <f>IF(' DAM Capital Financial Data'!G53=0,0,' DAM Capital Financial Data'!G5/' DAM Capital Financial Data'!G53)</f>
        <v>2.1926829268292685</v>
      </c>
      <c r="I23" s="61" t="s">
        <v>380</v>
      </c>
      <c r="J23" s="58" t="s">
        <v>381</v>
      </c>
    </row>
    <row r="24" spans="2:10" ht="64.95" customHeight="1" x14ac:dyDescent="0.3">
      <c r="B24" s="43" t="s">
        <v>61</v>
      </c>
      <c r="C24" s="44" t="s">
        <v>62</v>
      </c>
      <c r="D24" s="47">
        <f>IF(' DAM Capital Financial Data'!C53=0,0,365/(' DAM Capital Financial Data'!C5/' DAM Capital Financial Data'!C53))</f>
        <v>77.659574468085097</v>
      </c>
      <c r="E24" s="47">
        <f>IF(' DAM Capital Financial Data'!D53=0,0,365/(' DAM Capital Financial Data'!D5/' DAM Capital Financial Data'!D53))</f>
        <v>183.04914744232696</v>
      </c>
      <c r="F24" s="47">
        <f>IF(' DAM Capital Financial Data'!E53=0,0,365/(' DAM Capital Financial Data'!E5/' DAM Capital Financial Data'!E53))</f>
        <v>219.75916803503011</v>
      </c>
      <c r="G24" s="47">
        <f>IF(' DAM Capital Financial Data'!F53=0,0,365/(' DAM Capital Financial Data'!F5/' DAM Capital Financial Data'!F53))</f>
        <v>197.20039292730846</v>
      </c>
      <c r="H24" s="47">
        <f>IF(' DAM Capital Financial Data'!G53=0,0,365/(' DAM Capital Financial Data'!G5/' DAM Capital Financial Data'!G53))</f>
        <v>166.46273637374858</v>
      </c>
      <c r="I24" s="61" t="s">
        <v>382</v>
      </c>
      <c r="J24" s="59" t="s">
        <v>383</v>
      </c>
    </row>
    <row r="26" spans="2:10" ht="15.75" customHeight="1" x14ac:dyDescent="0.3">
      <c r="B26" s="149" t="s">
        <v>81</v>
      </c>
      <c r="C26" s="97"/>
      <c r="D26" s="97"/>
      <c r="E26" s="97"/>
      <c r="F26" s="97"/>
      <c r="G26" s="97"/>
      <c r="H26" s="97"/>
      <c r="I26" s="97"/>
    </row>
    <row r="27" spans="2:10" ht="22.05" customHeight="1" x14ac:dyDescent="0.3">
      <c r="B27" s="27" t="s">
        <v>2</v>
      </c>
      <c r="C27" s="27" t="s">
        <v>3</v>
      </c>
      <c r="D27" s="28" t="s">
        <v>4</v>
      </c>
      <c r="E27" s="28" t="s">
        <v>5</v>
      </c>
      <c r="F27" s="28" t="s">
        <v>6</v>
      </c>
      <c r="G27" s="28" t="s">
        <v>7</v>
      </c>
      <c r="H27" s="28" t="s">
        <v>8</v>
      </c>
      <c r="I27" s="56" t="s">
        <v>9</v>
      </c>
      <c r="J27" s="56" t="s">
        <v>354</v>
      </c>
    </row>
    <row r="28" spans="2:10" ht="64.95" customHeight="1" x14ac:dyDescent="0.3">
      <c r="B28" s="43" t="s">
        <v>82</v>
      </c>
      <c r="C28" s="44" t="s">
        <v>384</v>
      </c>
      <c r="D28" s="45">
        <f>IF(' DAM Capital Financial Data'!C27=0,0,' DAM Capital Financial Data'!C35/' DAM Capital Financial Data'!C27)</f>
        <v>0.21621621621621623</v>
      </c>
      <c r="E28" s="45">
        <f>IF(' DAM Capital Financial Data'!D27=0,0,' DAM Capital Financial Data'!D35/' DAM Capital Financial Data'!D27)</f>
        <v>1.4315253698107206E-2</v>
      </c>
      <c r="F28" s="45">
        <f>IF(' DAM Capital Financial Data'!E27=0,0,' DAM Capital Financial Data'!E35/' DAM Capital Financial Data'!E27)</f>
        <v>1.6590187080833041E-2</v>
      </c>
      <c r="G28" s="45">
        <f>IF(' DAM Capital Financial Data'!F27=0,0,' DAM Capital Financial Data'!F35/' DAM Capital Financial Data'!F27)</f>
        <v>3.5995623632385121E-2</v>
      </c>
      <c r="H28" s="45">
        <f>IF(' DAM Capital Financial Data'!G27=0,0,' DAM Capital Financial Data'!G35/' DAM Capital Financial Data'!G27)</f>
        <v>2.3434570678665171E-2</v>
      </c>
      <c r="I28" s="61" t="s">
        <v>385</v>
      </c>
      <c r="J28" s="59" t="s">
        <v>386</v>
      </c>
    </row>
    <row r="29" spans="2:10" ht="64.95" customHeight="1" x14ac:dyDescent="0.3">
      <c r="B29" s="43" t="s">
        <v>387</v>
      </c>
      <c r="C29" s="44" t="s">
        <v>388</v>
      </c>
      <c r="D29" s="45">
        <f>IF(' DAM Capital Financial Data'!C58=0,0,' DAM Capital Financial Data'!C35/' DAM Capital Financial Data'!C58)</f>
        <v>0.13445378151260504</v>
      </c>
      <c r="E29" s="45">
        <f>IF(' DAM Capital Financial Data'!D58=0,0,' DAM Capital Financial Data'!D35/' DAM Capital Financial Data'!D58)</f>
        <v>7.3158835961632251E-3</v>
      </c>
      <c r="F29" s="45">
        <f>IF(' DAM Capital Financial Data'!E58=0,0,' DAM Capital Financial Data'!E35/' DAM Capital Financial Data'!E58)</f>
        <v>6.9602132490867797E-3</v>
      </c>
      <c r="G29" s="45">
        <f>IF(' DAM Capital Financial Data'!F58=0,0,' DAM Capital Financial Data'!F35/' DAM Capital Financial Data'!F58)</f>
        <v>2.610220321636267E-3</v>
      </c>
      <c r="H29" s="45">
        <f>IF(' DAM Capital Financial Data'!G58=0,0,' DAM Capital Financial Data'!G35/' DAM Capital Financial Data'!G58)</f>
        <v>1.038637307852098E-2</v>
      </c>
      <c r="I29" s="61" t="s">
        <v>389</v>
      </c>
      <c r="J29" s="58" t="s">
        <v>390</v>
      </c>
    </row>
    <row r="30" spans="2:10" ht="64.95" customHeight="1" x14ac:dyDescent="0.3">
      <c r="B30" s="43" t="s">
        <v>90</v>
      </c>
      <c r="C30" s="44" t="s">
        <v>391</v>
      </c>
      <c r="D30" s="48">
        <f>IF(' DAM Capital Financial Data'!C27=0,0,' DAM Capital Financial Data'!C58/' DAM Capital Financial Data'!C27)</f>
        <v>1.6081081081081081</v>
      </c>
      <c r="E30" s="48">
        <f>IF(' DAM Capital Financial Data'!D27=0,0,' DAM Capital Financial Data'!D58/' DAM Capital Financial Data'!D27)</f>
        <v>1.9567361221568318</v>
      </c>
      <c r="F30" s="48">
        <f>IF(' DAM Capital Financial Data'!E27=0,0,' DAM Capital Financial Data'!E58/' DAM Capital Financial Data'!E27)</f>
        <v>2.3835745381809628</v>
      </c>
      <c r="G30" s="48">
        <f>IF(' DAM Capital Financial Data'!F27=0,0,' DAM Capital Financial Data'!F58/' DAM Capital Financial Data'!F27)</f>
        <v>13.790262582056892</v>
      </c>
      <c r="H30" s="48">
        <f>IF(' DAM Capital Financial Data'!G27=0,0,' DAM Capital Financial Data'!G58/' DAM Capital Financial Data'!G27)</f>
        <v>2.2562804649418826</v>
      </c>
      <c r="I30" s="61" t="s">
        <v>392</v>
      </c>
      <c r="J30" s="59" t="s">
        <v>393</v>
      </c>
    </row>
    <row r="31" spans="2:10" ht="64.95" customHeight="1" x14ac:dyDescent="0.3">
      <c r="B31" s="43" t="s">
        <v>86</v>
      </c>
      <c r="C31" s="44" t="s">
        <v>87</v>
      </c>
      <c r="D31" s="48">
        <f>IF(' DAM Capital Financial Data'!C10=0,0,' DAM Capital Financial Data'!C15/' DAM Capital Financial Data'!C10)</f>
        <v>38</v>
      </c>
      <c r="E31" s="48">
        <f>IF(' DAM Capital Financial Data'!D10=0,0,' DAM Capital Financial Data'!D15/' DAM Capital Financial Data'!D10)</f>
        <v>19.20289855072464</v>
      </c>
      <c r="F31" s="48">
        <f>IF(' DAM Capital Financial Data'!E10=0,0,' DAM Capital Financial Data'!E15/' DAM Capital Financial Data'!E10)</f>
        <v>69.739130434782609</v>
      </c>
      <c r="G31" s="48">
        <f>IF(' DAM Capital Financial Data'!F10=0,0,' DAM Capital Financial Data'!F15/' DAM Capital Financial Data'!F10)</f>
        <v>63.945454545454545</v>
      </c>
      <c r="H31" s="48">
        <f>IF(' DAM Capital Financial Data'!G10=0,0,' DAM Capital Financial Data'!G15/' DAM Capital Financial Data'!G10)</f>
        <v>137.67768595041323</v>
      </c>
      <c r="I31" s="61" t="s">
        <v>394</v>
      </c>
      <c r="J31" s="58" t="s">
        <v>395</v>
      </c>
    </row>
    <row r="32" spans="2:10" ht="64.95" customHeight="1" x14ac:dyDescent="0.3">
      <c r="B32" s="43" t="s">
        <v>94</v>
      </c>
      <c r="C32" s="44" t="s">
        <v>396</v>
      </c>
      <c r="D32" s="49">
        <f>' DAM Capital Financial Data'!C35-(' DAM Capital Financial Data'!C54+' DAM Capital Financial Data'!C52)</f>
        <v>-47</v>
      </c>
      <c r="E32" s="49">
        <f>' DAM Capital Financial Data'!D35-(' DAM Capital Financial Data'!D54+' DAM Capital Financial Data'!D52)</f>
        <v>-69.099999999999994</v>
      </c>
      <c r="F32" s="49">
        <f>' DAM Capital Financial Data'!E35-(' DAM Capital Financial Data'!E54+' DAM Capital Financial Data'!E52)</f>
        <v>-100.59</v>
      </c>
      <c r="G32" s="49">
        <f>' DAM Capital Financial Data'!F35-(' DAM Capital Financial Data'!F54+' DAM Capital Financial Data'!F52)</f>
        <v>-1168.71</v>
      </c>
      <c r="H32" s="49">
        <f>' DAM Capital Financial Data'!G35-(' DAM Capital Financial Data'!G54+' DAM Capital Financial Data'!G52)</f>
        <v>-187.25</v>
      </c>
      <c r="I32" s="61" t="s">
        <v>397</v>
      </c>
      <c r="J32" s="59" t="s">
        <v>398</v>
      </c>
    </row>
    <row r="33" spans="2:10" ht="64.95" customHeight="1" x14ac:dyDescent="0.3">
      <c r="B33" s="43" t="s">
        <v>98</v>
      </c>
      <c r="C33" s="44" t="s">
        <v>98</v>
      </c>
      <c r="D33" s="48">
        <f>IF(' DAM Capital Financial Data'!C13=0,0,(' DAM Capital Financial Data'!C35-(' DAM Capital Financial Data'!C54+' DAM Capital Financial Data'!C52))/' DAM Capital Financial Data'!C13)</f>
        <v>-1.1190476190476191</v>
      </c>
      <c r="E33" s="48">
        <f>IF(' DAM Capital Financial Data'!D13=0,0,(' DAM Capital Financial Data'!D35-(' DAM Capital Financial Data'!D54+' DAM Capital Financial Data'!D52))/' DAM Capital Financial Data'!D13)</f>
        <v>-2.1261538461538461</v>
      </c>
      <c r="F33" s="48">
        <f>IF(' DAM Capital Financial Data'!E13=0,0,(' DAM Capital Financial Data'!E35-(' DAM Capital Financial Data'!E54+' DAM Capital Financial Data'!E52))/' DAM Capital Financial Data'!E13)</f>
        <v>-1.1806338028169017</v>
      </c>
      <c r="G33" s="48">
        <f>IF(' DAM Capital Financial Data'!F13=0,0,(' DAM Capital Financial Data'!F35-(' DAM Capital Financial Data'!F54+' DAM Capital Financial Data'!F52))/' DAM Capital Financial Data'!F13)</f>
        <v>-15.512476771967082</v>
      </c>
      <c r="H33" s="48">
        <f>IF(' DAM Capital Financial Data'!G13=0,0,(' DAM Capital Financial Data'!G35-(' DAM Capital Financial Data'!G54+' DAM Capital Financial Data'!G52))/' DAM Capital Financial Data'!G13)</f>
        <v>-1.084941190103714</v>
      </c>
      <c r="I33" s="61" t="s">
        <v>399</v>
      </c>
      <c r="J33" s="58" t="s">
        <v>400</v>
      </c>
    </row>
    <row r="35" spans="2:10" ht="15.75" customHeight="1" x14ac:dyDescent="0.3">
      <c r="B35" s="149" t="s">
        <v>101</v>
      </c>
      <c r="C35" s="97"/>
      <c r="D35" s="97"/>
      <c r="E35" s="97"/>
      <c r="F35" s="97"/>
      <c r="G35" s="97"/>
      <c r="H35" s="97"/>
      <c r="I35" s="97"/>
    </row>
    <row r="36" spans="2:10" ht="22.05" customHeight="1" x14ac:dyDescent="0.3">
      <c r="B36" s="27" t="s">
        <v>2</v>
      </c>
      <c r="C36" s="27" t="s">
        <v>3</v>
      </c>
      <c r="D36" s="28" t="s">
        <v>4</v>
      </c>
      <c r="E36" s="28" t="s">
        <v>5</v>
      </c>
      <c r="F36" s="28" t="s">
        <v>6</v>
      </c>
      <c r="G36" s="28" t="s">
        <v>7</v>
      </c>
      <c r="H36" s="28" t="s">
        <v>8</v>
      </c>
      <c r="I36" s="56" t="s">
        <v>9</v>
      </c>
      <c r="J36" s="56" t="s">
        <v>354</v>
      </c>
    </row>
    <row r="37" spans="2:10" ht="64.95" customHeight="1" x14ac:dyDescent="0.3">
      <c r="B37" s="43" t="s">
        <v>102</v>
      </c>
      <c r="C37" s="44" t="s">
        <v>401</v>
      </c>
      <c r="D37" s="45">
        <f>IF(' DAM Capital Financial Data'!C18=0,0,' DAM Capital Financial Data'!C64/' DAM Capital Financial Data'!C18)</f>
        <v>30</v>
      </c>
      <c r="E37" s="45">
        <f>IF(' DAM Capital Financial Data'!D18=0,0,' DAM Capital Financial Data'!D64/' DAM Capital Financial Data'!D18)</f>
        <v>124.13793103448276</v>
      </c>
      <c r="F37" s="45">
        <f>IF(' DAM Capital Financial Data'!E18=0,0,' DAM Capital Financial Data'!E64/' DAM Capital Financial Data'!E18)</f>
        <v>-5.8631921824104234</v>
      </c>
      <c r="G37" s="45">
        <f>IF(' DAM Capital Financial Data'!F18=0,0,' DAM Capital Financial Data'!F64/' DAM Capital Financial Data'!F18)</f>
        <v>-214.55696202531644</v>
      </c>
      <c r="H37" s="45">
        <f>IF(' DAM Capital Financial Data'!G18=0,0,' DAM Capital Financial Data'!G64/' DAM Capital Financial Data'!G18)</f>
        <v>23.865006026516674</v>
      </c>
      <c r="I37" s="61" t="s">
        <v>402</v>
      </c>
      <c r="J37" s="58" t="s">
        <v>403</v>
      </c>
    </row>
    <row r="38" spans="2:10" ht="64.95" customHeight="1" x14ac:dyDescent="0.3">
      <c r="B38" s="43" t="s">
        <v>106</v>
      </c>
      <c r="C38" s="44" t="s">
        <v>107</v>
      </c>
      <c r="D38" s="46">
        <f>IF(' DAM Capital Financial Data'!C5=0,0,' DAM Capital Financial Data'!C65/' DAM Capital Financial Data'!C5)</f>
        <v>6.3829787234042548E-2</v>
      </c>
      <c r="E38" s="46">
        <f>IF(' DAM Capital Financial Data'!D5=0,0,' DAM Capital Financial Data'!D65/' DAM Capital Financial Data'!D5)</f>
        <v>5.0150451354062181E-2</v>
      </c>
      <c r="F38" s="46">
        <f>IF(' DAM Capital Financial Data'!E5=0,0,' DAM Capital Financial Data'!E65/' DAM Capital Financial Data'!E5)</f>
        <v>1.6420361247947456E-2</v>
      </c>
      <c r="G38" s="46">
        <f>IF(' DAM Capital Financial Data'!F5=0,0,' DAM Capital Financial Data'!F65/' DAM Capital Financial Data'!F5)</f>
        <v>1.2278978388998036E-2</v>
      </c>
      <c r="H38" s="46">
        <f>IF(' DAM Capital Financial Data'!G5=0,0,' DAM Capital Financial Data'!G65/' DAM Capital Financial Data'!G5)</f>
        <v>1.6685205784204672E-2</v>
      </c>
      <c r="I38" s="61" t="s">
        <v>404</v>
      </c>
      <c r="J38" s="59" t="s">
        <v>405</v>
      </c>
    </row>
    <row r="39" spans="2:10" ht="64.95" customHeight="1" x14ac:dyDescent="0.3">
      <c r="B39" s="43" t="s">
        <v>406</v>
      </c>
      <c r="C39" s="44" t="s">
        <v>407</v>
      </c>
      <c r="D39" s="46">
        <f>IF(' DAM Capital Financial Data'!C58=0,0,' DAM Capital Financial Data'!C64/' DAM Capital Financial Data'!C58)</f>
        <v>0.10084033613445378</v>
      </c>
      <c r="E39" s="46">
        <f>IF(' DAM Capital Financial Data'!D58=0,0,' DAM Capital Financial Data'!D64/' DAM Capital Financial Data'!D58)</f>
        <v>0.29263534384652901</v>
      </c>
      <c r="F39" s="46">
        <f>IF(' DAM Capital Financial Data'!E58=0,0,' DAM Capital Financial Data'!E64/' DAM Capital Financial Data'!E58)</f>
        <v>0.17770757231710929</v>
      </c>
      <c r="G39" s="46">
        <f>IF(' DAM Capital Financial Data'!F58=0,0,' DAM Capital Financial Data'!F64/' DAM Capital Financial Data'!F58)</f>
        <v>0.53791166506668353</v>
      </c>
      <c r="H39" s="46">
        <f>IF(' DAM Capital Financial Data'!G58=0,0,' DAM Capital Financial Data'!G64/' DAM Capital Financial Data'!G58)</f>
        <v>-1.6452014956377232</v>
      </c>
      <c r="I39" s="61" t="s">
        <v>408</v>
      </c>
      <c r="J39" s="58" t="s">
        <v>409</v>
      </c>
    </row>
    <row r="40" spans="2:10" ht="15.75" customHeight="1" x14ac:dyDescent="0.3">
      <c r="B40" s="97"/>
      <c r="C40" s="97"/>
      <c r="D40" s="97"/>
      <c r="E40" s="97"/>
      <c r="F40" s="97"/>
      <c r="G40" s="97"/>
      <c r="H40" s="97"/>
    </row>
    <row r="41" spans="2:10" x14ac:dyDescent="0.3">
      <c r="B41" s="148" t="s">
        <v>410</v>
      </c>
      <c r="C41" s="97"/>
      <c r="D41" s="97"/>
      <c r="E41" s="97"/>
      <c r="F41" s="97"/>
      <c r="G41" s="97"/>
      <c r="H41" s="97"/>
    </row>
  </sheetData>
  <mergeCells count="11">
    <mergeCell ref="B9:I9"/>
    <mergeCell ref="B40:H40"/>
    <mergeCell ref="B41:H41"/>
    <mergeCell ref="B1:H1"/>
    <mergeCell ref="B4:H4"/>
    <mergeCell ref="B20:I20"/>
    <mergeCell ref="B3:I3"/>
    <mergeCell ref="B2:H2"/>
    <mergeCell ref="B10:H10"/>
    <mergeCell ref="B35:I35"/>
    <mergeCell ref="B26:I26"/>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37474F"/>
  </sheetPr>
  <dimension ref="B1:E27"/>
  <sheetViews>
    <sheetView showGridLines="0" zoomScaleNormal="100" workbookViewId="0">
      <selection activeCell="E25" sqref="E25"/>
    </sheetView>
  </sheetViews>
  <sheetFormatPr defaultColWidth="8.6640625" defaultRowHeight="14.4" x14ac:dyDescent="0.3"/>
  <cols>
    <col min="1" max="1" width="2" customWidth="1"/>
    <col min="2" max="2" width="25" customWidth="1"/>
    <col min="3" max="3" width="28" customWidth="1"/>
    <col min="4" max="4" width="45" customWidth="1"/>
    <col min="5" max="5" width="40.6640625" customWidth="1"/>
  </cols>
  <sheetData>
    <row r="1" spans="2:5" ht="27.75" customHeight="1" x14ac:dyDescent="0.3">
      <c r="B1" s="127" t="s">
        <v>411</v>
      </c>
      <c r="C1" s="97"/>
      <c r="D1" s="97"/>
      <c r="E1" s="97"/>
    </row>
    <row r="3" spans="2:5" ht="19.5" customHeight="1" x14ac:dyDescent="0.3">
      <c r="B3" s="40" t="s">
        <v>412</v>
      </c>
      <c r="C3" s="40" t="s">
        <v>413</v>
      </c>
      <c r="D3" s="40" t="s">
        <v>414</v>
      </c>
      <c r="E3" s="40" t="s">
        <v>415</v>
      </c>
    </row>
    <row r="4" spans="2:5" ht="19.5" customHeight="1" x14ac:dyDescent="0.3">
      <c r="B4" s="50" t="s">
        <v>416</v>
      </c>
      <c r="C4" s="50" t="s">
        <v>417</v>
      </c>
      <c r="D4" s="51" t="s">
        <v>418</v>
      </c>
      <c r="E4" s="50" t="s">
        <v>419</v>
      </c>
    </row>
    <row r="5" spans="2:5" ht="19.5" customHeight="1" x14ac:dyDescent="0.3">
      <c r="B5" s="50" t="s">
        <v>416</v>
      </c>
      <c r="C5" s="50" t="s">
        <v>420</v>
      </c>
      <c r="D5" s="51" t="s">
        <v>421</v>
      </c>
      <c r="E5" s="50" t="s">
        <v>422</v>
      </c>
    </row>
    <row r="6" spans="2:5" ht="19.5" customHeight="1" x14ac:dyDescent="0.3">
      <c r="B6" s="50" t="s">
        <v>416</v>
      </c>
      <c r="C6" s="50" t="s">
        <v>423</v>
      </c>
      <c r="D6" s="51" t="s">
        <v>424</v>
      </c>
      <c r="E6" s="50" t="s">
        <v>425</v>
      </c>
    </row>
    <row r="7" spans="2:5" ht="19.5" customHeight="1" x14ac:dyDescent="0.3">
      <c r="B7" s="50" t="s">
        <v>416</v>
      </c>
      <c r="C7" s="50" t="s">
        <v>426</v>
      </c>
      <c r="D7" s="51" t="s">
        <v>427</v>
      </c>
      <c r="E7" s="50" t="s">
        <v>428</v>
      </c>
    </row>
    <row r="8" spans="2:5" ht="19.5" customHeight="1" x14ac:dyDescent="0.3">
      <c r="B8" s="50" t="s">
        <v>416</v>
      </c>
      <c r="C8" s="50" t="s">
        <v>429</v>
      </c>
      <c r="D8" s="51" t="s">
        <v>430</v>
      </c>
      <c r="E8" s="50" t="s">
        <v>431</v>
      </c>
    </row>
    <row r="9" spans="2:5" ht="19.5" customHeight="1" x14ac:dyDescent="0.3">
      <c r="B9" s="50" t="s">
        <v>416</v>
      </c>
      <c r="C9" s="50" t="s">
        <v>432</v>
      </c>
      <c r="D9" s="51" t="s">
        <v>433</v>
      </c>
      <c r="E9" s="50" t="s">
        <v>434</v>
      </c>
    </row>
    <row r="10" spans="2:5" ht="19.5" customHeight="1" x14ac:dyDescent="0.3">
      <c r="B10" s="50" t="s">
        <v>416</v>
      </c>
      <c r="C10" s="50" t="s">
        <v>435</v>
      </c>
      <c r="D10" s="51" t="s">
        <v>436</v>
      </c>
      <c r="E10" s="50" t="s">
        <v>437</v>
      </c>
    </row>
    <row r="11" spans="2:5" ht="19.5" customHeight="1" x14ac:dyDescent="0.3">
      <c r="B11" s="50" t="s">
        <v>416</v>
      </c>
      <c r="C11" s="50" t="s">
        <v>438</v>
      </c>
      <c r="D11" s="51" t="s">
        <v>439</v>
      </c>
      <c r="E11" s="50" t="s">
        <v>440</v>
      </c>
    </row>
    <row r="12" spans="2:5" ht="19.5" customHeight="1" x14ac:dyDescent="0.3">
      <c r="B12" s="52" t="s">
        <v>441</v>
      </c>
      <c r="C12" s="52" t="s">
        <v>417</v>
      </c>
      <c r="D12" s="53" t="s">
        <v>442</v>
      </c>
      <c r="E12" s="52" t="s">
        <v>419</v>
      </c>
    </row>
    <row r="13" spans="2:5" ht="19.5" customHeight="1" x14ac:dyDescent="0.3">
      <c r="B13" s="52" t="s">
        <v>441</v>
      </c>
      <c r="C13" s="52" t="s">
        <v>420</v>
      </c>
      <c r="D13" s="53" t="s">
        <v>443</v>
      </c>
      <c r="E13" s="52" t="s">
        <v>444</v>
      </c>
    </row>
    <row r="14" spans="2:5" ht="19.5" customHeight="1" x14ac:dyDescent="0.3">
      <c r="B14" s="52" t="s">
        <v>441</v>
      </c>
      <c r="C14" s="52" t="s">
        <v>423</v>
      </c>
      <c r="D14" s="53" t="s">
        <v>445</v>
      </c>
      <c r="E14" s="52" t="s">
        <v>446</v>
      </c>
    </row>
    <row r="15" spans="2:5" ht="19.5" customHeight="1" x14ac:dyDescent="0.3">
      <c r="B15" s="52" t="s">
        <v>441</v>
      </c>
      <c r="C15" s="52" t="s">
        <v>426</v>
      </c>
      <c r="D15" s="53" t="s">
        <v>447</v>
      </c>
      <c r="E15" s="52" t="s">
        <v>448</v>
      </c>
    </row>
    <row r="16" spans="2:5" ht="19.5" customHeight="1" x14ac:dyDescent="0.3">
      <c r="B16" s="52" t="s">
        <v>441</v>
      </c>
      <c r="C16" s="52" t="s">
        <v>449</v>
      </c>
      <c r="D16" s="53" t="s">
        <v>450</v>
      </c>
      <c r="E16" s="52" t="s">
        <v>451</v>
      </c>
    </row>
    <row r="17" spans="2:5" ht="19.5" customHeight="1" x14ac:dyDescent="0.3">
      <c r="B17" s="52" t="s">
        <v>441</v>
      </c>
      <c r="C17" s="52" t="s">
        <v>452</v>
      </c>
      <c r="D17" s="53" t="s">
        <v>453</v>
      </c>
      <c r="E17" s="52" t="s">
        <v>454</v>
      </c>
    </row>
    <row r="18" spans="2:5" ht="19.5" customHeight="1" x14ac:dyDescent="0.3">
      <c r="B18" s="54" t="s">
        <v>455</v>
      </c>
      <c r="C18" s="54" t="s">
        <v>456</v>
      </c>
      <c r="D18" s="55" t="s">
        <v>457</v>
      </c>
      <c r="E18" s="54" t="s">
        <v>458</v>
      </c>
    </row>
    <row r="19" spans="2:5" ht="19.5" customHeight="1" x14ac:dyDescent="0.3">
      <c r="B19" s="54" t="s">
        <v>455</v>
      </c>
      <c r="C19" s="54" t="s">
        <v>459</v>
      </c>
      <c r="D19" s="55" t="s">
        <v>460</v>
      </c>
      <c r="E19" s="54" t="s">
        <v>461</v>
      </c>
    </row>
    <row r="20" spans="2:5" ht="19.5" customHeight="1" x14ac:dyDescent="0.3">
      <c r="B20" s="54" t="s">
        <v>455</v>
      </c>
      <c r="C20" s="54" t="s">
        <v>462</v>
      </c>
      <c r="D20" s="55" t="s">
        <v>463</v>
      </c>
      <c r="E20" s="54" t="s">
        <v>464</v>
      </c>
    </row>
    <row r="21" spans="2:5" ht="19.5" customHeight="1" x14ac:dyDescent="0.3">
      <c r="B21" s="54" t="s">
        <v>455</v>
      </c>
      <c r="C21" s="54" t="s">
        <v>465</v>
      </c>
      <c r="D21" s="55" t="s">
        <v>466</v>
      </c>
      <c r="E21" s="54" t="s">
        <v>467</v>
      </c>
    </row>
    <row r="22" spans="2:5" ht="19.5" customHeight="1" x14ac:dyDescent="0.3">
      <c r="B22" s="54" t="s">
        <v>455</v>
      </c>
      <c r="C22" s="54" t="s">
        <v>468</v>
      </c>
      <c r="D22" s="55" t="s">
        <v>469</v>
      </c>
      <c r="E22" s="54" t="s">
        <v>470</v>
      </c>
    </row>
    <row r="24" spans="2:5" ht="18" customHeight="1" x14ac:dyDescent="0.3"/>
    <row r="25" spans="2:5" ht="18" customHeight="1" x14ac:dyDescent="0.3"/>
    <row r="26" spans="2:5" ht="18" customHeight="1" x14ac:dyDescent="0.3"/>
    <row r="27" spans="2:5" ht="18" customHeight="1" x14ac:dyDescent="0.3"/>
  </sheetData>
  <mergeCells count="1">
    <mergeCell ref="B1:E1"/>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565C0"/>
  </sheetPr>
  <dimension ref="A1:E59"/>
  <sheetViews>
    <sheetView showGridLines="0" workbookViewId="0">
      <selection activeCell="E16" sqref="E16"/>
    </sheetView>
  </sheetViews>
  <sheetFormatPr defaultRowHeight="14.4" x14ac:dyDescent="0.3"/>
  <cols>
    <col min="1" max="1" width="38" customWidth="1"/>
    <col min="2" max="3" width="18" customWidth="1"/>
    <col min="4" max="4" width="22" customWidth="1"/>
    <col min="5" max="5" width="45" customWidth="1"/>
  </cols>
  <sheetData>
    <row r="1" spans="1:5" ht="25.95" customHeight="1" x14ac:dyDescent="0.3">
      <c r="A1" s="154" t="s">
        <v>471</v>
      </c>
      <c r="B1" s="97"/>
      <c r="C1" s="97"/>
      <c r="D1" s="97"/>
      <c r="E1" s="97"/>
    </row>
    <row r="2" spans="1:5" ht="13.95" customHeight="1" x14ac:dyDescent="0.3">
      <c r="A2" s="152" t="s">
        <v>472</v>
      </c>
      <c r="B2" s="97"/>
      <c r="C2" s="97"/>
      <c r="D2" s="97"/>
      <c r="E2" s="97"/>
    </row>
    <row r="4" spans="1:5" ht="19.95" customHeight="1" x14ac:dyDescent="0.3">
      <c r="A4" s="151" t="s">
        <v>473</v>
      </c>
      <c r="B4" s="97"/>
      <c r="C4" s="97"/>
      <c r="D4" s="97"/>
      <c r="E4" s="97"/>
    </row>
    <row r="5" spans="1:5" ht="18" customHeight="1" x14ac:dyDescent="0.3">
      <c r="A5" s="56" t="s">
        <v>474</v>
      </c>
      <c r="B5" s="56" t="s">
        <v>416</v>
      </c>
      <c r="C5" s="56" t="s">
        <v>441</v>
      </c>
      <c r="D5" s="56" t="s">
        <v>475</v>
      </c>
    </row>
    <row r="6" spans="1:5" ht="18" customHeight="1" x14ac:dyDescent="0.3">
      <c r="A6" s="62" t="s">
        <v>476</v>
      </c>
      <c r="B6" s="63">
        <v>7.1999999999999995E-2</v>
      </c>
      <c r="C6" s="63">
        <v>7.1999999999999995E-2</v>
      </c>
      <c r="E6" s="64" t="s">
        <v>477</v>
      </c>
    </row>
    <row r="7" spans="1:5" ht="18" customHeight="1" x14ac:dyDescent="0.3">
      <c r="A7" s="65" t="s">
        <v>478</v>
      </c>
      <c r="B7" s="63">
        <v>0.06</v>
      </c>
      <c r="C7" s="63">
        <v>0.06</v>
      </c>
      <c r="E7" s="66" t="s">
        <v>479</v>
      </c>
    </row>
    <row r="8" spans="1:5" ht="18" customHeight="1" x14ac:dyDescent="0.3">
      <c r="A8" s="62" t="s">
        <v>480</v>
      </c>
      <c r="B8" s="63">
        <v>1.35</v>
      </c>
      <c r="C8" s="63">
        <v>0.85</v>
      </c>
      <c r="E8" s="64" t="s">
        <v>481</v>
      </c>
    </row>
    <row r="9" spans="1:5" ht="18" customHeight="1" x14ac:dyDescent="0.3">
      <c r="A9" s="65" t="s">
        <v>482</v>
      </c>
      <c r="B9" s="67" t="str">
        <f ca="1">B7+B8*B9</f>
        <v/>
      </c>
      <c r="C9" s="67" t="str">
        <f ca="1">C7+C8*C9</f>
        <v/>
      </c>
      <c r="E9" s="66" t="s">
        <v>483</v>
      </c>
    </row>
    <row r="10" spans="1:5" ht="18" customHeight="1" x14ac:dyDescent="0.3">
      <c r="A10" s="62" t="s">
        <v>484</v>
      </c>
      <c r="B10" s="63">
        <v>0.09</v>
      </c>
      <c r="C10" s="63">
        <v>8.5000000000000006E-2</v>
      </c>
      <c r="E10" s="64" t="s">
        <v>485</v>
      </c>
    </row>
    <row r="11" spans="1:5" ht="18" customHeight="1" x14ac:dyDescent="0.3">
      <c r="A11" s="65" t="s">
        <v>486</v>
      </c>
      <c r="B11" s="63">
        <v>0.25</v>
      </c>
      <c r="C11" s="63">
        <v>0.26</v>
      </c>
      <c r="E11" s="66" t="s">
        <v>487</v>
      </c>
    </row>
    <row r="12" spans="1:5" ht="18" customHeight="1" x14ac:dyDescent="0.3">
      <c r="A12" s="62" t="s">
        <v>488</v>
      </c>
      <c r="B12" s="67" t="str">
        <f ca="1">B12*(1-B13)</f>
        <v/>
      </c>
      <c r="C12" s="67" t="str">
        <f ca="1">C12*(1-C13)</f>
        <v/>
      </c>
      <c r="E12" s="64" t="s">
        <v>489</v>
      </c>
    </row>
    <row r="13" spans="1:5" ht="18" customHeight="1" x14ac:dyDescent="0.3">
      <c r="A13" s="65" t="s">
        <v>490</v>
      </c>
      <c r="B13" s="63">
        <v>0.45</v>
      </c>
      <c r="C13" s="63">
        <v>0.98</v>
      </c>
      <c r="E13" s="66" t="s">
        <v>491</v>
      </c>
    </row>
    <row r="14" spans="1:5" ht="18" customHeight="1" x14ac:dyDescent="0.3">
      <c r="A14" s="62" t="s">
        <v>492</v>
      </c>
      <c r="B14" s="63">
        <v>0.55000000000000004</v>
      </c>
      <c r="C14" s="63">
        <v>0.02</v>
      </c>
      <c r="E14" s="64" t="s">
        <v>493</v>
      </c>
    </row>
    <row r="15" spans="1:5" ht="18" customHeight="1" x14ac:dyDescent="0.3">
      <c r="A15" s="65" t="s">
        <v>494</v>
      </c>
      <c r="B15" s="68" t="str">
        <f ca="1">B10*B15+B14*B16</f>
        <v/>
      </c>
      <c r="C15" s="68" t="str">
        <f ca="1">C10*C15+C14*C16</f>
        <v/>
      </c>
      <c r="E15" s="66" t="s">
        <v>495</v>
      </c>
    </row>
    <row r="17" spans="1:5" ht="19.95" customHeight="1" x14ac:dyDescent="0.3">
      <c r="A17" s="155" t="s">
        <v>496</v>
      </c>
      <c r="B17" s="97"/>
      <c r="C17" s="97"/>
      <c r="D17" s="97"/>
      <c r="E17" s="97"/>
    </row>
    <row r="18" spans="1:5" ht="18" customHeight="1" x14ac:dyDescent="0.3">
      <c r="A18" s="56" t="s">
        <v>222</v>
      </c>
      <c r="B18" s="56" t="s">
        <v>230</v>
      </c>
      <c r="C18" s="56" t="s">
        <v>497</v>
      </c>
      <c r="D18" s="56" t="s">
        <v>498</v>
      </c>
      <c r="E18" s="56" t="s">
        <v>499</v>
      </c>
    </row>
    <row r="19" spans="1:5" ht="16.95" customHeight="1" x14ac:dyDescent="0.3">
      <c r="A19" s="69" t="s">
        <v>4</v>
      </c>
      <c r="B19" s="70">
        <v>93</v>
      </c>
      <c r="C19" s="71" t="s">
        <v>500</v>
      </c>
      <c r="D19" s="72">
        <v>9</v>
      </c>
      <c r="E19" s="71" t="s">
        <v>500</v>
      </c>
    </row>
    <row r="20" spans="1:5" ht="16.95" customHeight="1" x14ac:dyDescent="0.3">
      <c r="A20" s="73" t="s">
        <v>5</v>
      </c>
      <c r="B20" s="70">
        <v>249</v>
      </c>
      <c r="C20" s="67">
        <f>(B20-B19)/ABS(B19)</f>
        <v>1.6774193548387097</v>
      </c>
      <c r="D20" s="72">
        <v>34</v>
      </c>
      <c r="E20" s="67">
        <f>(D20-D19)/ABS(D19)</f>
        <v>2.7777777777777777</v>
      </c>
    </row>
    <row r="21" spans="1:5" ht="16.95" customHeight="1" x14ac:dyDescent="0.3">
      <c r="A21" s="69" t="s">
        <v>6</v>
      </c>
      <c r="B21" s="70">
        <v>398</v>
      </c>
      <c r="C21" s="67">
        <f>(B21-B20)/ABS(B20)</f>
        <v>0.59839357429718876</v>
      </c>
      <c r="D21" s="72">
        <v>34.5</v>
      </c>
      <c r="E21" s="67">
        <f>(D21-D20)/ABS(D20)</f>
        <v>1.4705882352941176E-2</v>
      </c>
    </row>
    <row r="22" spans="1:5" ht="16.95" customHeight="1" x14ac:dyDescent="0.3">
      <c r="A22" s="73" t="s">
        <v>7</v>
      </c>
      <c r="B22" s="70">
        <v>249</v>
      </c>
      <c r="C22" s="67">
        <f>(B22-B21)/ABS(B21)</f>
        <v>-0.37437185929648242</v>
      </c>
      <c r="D22" s="72">
        <v>677</v>
      </c>
      <c r="E22" s="67">
        <f>(D22-D21)/ABS(D21)</f>
        <v>18.623188405797102</v>
      </c>
    </row>
    <row r="23" spans="1:5" ht="16.95" customHeight="1" x14ac:dyDescent="0.3">
      <c r="A23" s="69" t="s">
        <v>8</v>
      </c>
      <c r="B23" s="70">
        <v>-1651</v>
      </c>
      <c r="C23" s="67">
        <f>(B23-B22)/ABS(B22)</f>
        <v>-7.6305220883534135</v>
      </c>
      <c r="D23" s="72">
        <v>-597</v>
      </c>
      <c r="E23" s="67">
        <f>(D23-D22)/ABS(D22)</f>
        <v>-1.8818316100443131</v>
      </c>
    </row>
    <row r="25" spans="1:5" ht="19.95" customHeight="1" x14ac:dyDescent="0.3">
      <c r="A25" s="150" t="s">
        <v>501</v>
      </c>
      <c r="B25" s="97"/>
      <c r="C25" s="97"/>
      <c r="D25" s="97"/>
      <c r="E25" s="97"/>
    </row>
    <row r="26" spans="1:5" ht="18" customHeight="1" x14ac:dyDescent="0.3">
      <c r="A26" s="56" t="s">
        <v>502</v>
      </c>
      <c r="B26" s="56" t="s">
        <v>416</v>
      </c>
      <c r="C26" s="56" t="s">
        <v>441</v>
      </c>
      <c r="D26" s="56" t="s">
        <v>475</v>
      </c>
    </row>
    <row r="27" spans="1:5" ht="18" customHeight="1" x14ac:dyDescent="0.3">
      <c r="A27" s="74" t="s">
        <v>503</v>
      </c>
      <c r="B27" s="70">
        <v>500</v>
      </c>
      <c r="C27" s="75"/>
      <c r="D27" s="70">
        <v>110</v>
      </c>
      <c r="E27" s="66" t="s">
        <v>504</v>
      </c>
    </row>
    <row r="28" spans="1:5" ht="18" customHeight="1" x14ac:dyDescent="0.3">
      <c r="A28" s="76" t="s">
        <v>505</v>
      </c>
      <c r="B28" s="63">
        <v>0.3</v>
      </c>
      <c r="C28" s="75"/>
      <c r="D28" s="63">
        <v>0.2</v>
      </c>
      <c r="E28" s="64" t="s">
        <v>506</v>
      </c>
    </row>
    <row r="29" spans="1:5" ht="18" customHeight="1" x14ac:dyDescent="0.3">
      <c r="A29" s="74" t="s">
        <v>507</v>
      </c>
      <c r="B29" s="63">
        <v>0.25</v>
      </c>
      <c r="C29" s="75"/>
      <c r="D29" s="63">
        <v>0.22</v>
      </c>
      <c r="E29" s="66" t="s">
        <v>508</v>
      </c>
    </row>
    <row r="30" spans="1:5" ht="18" customHeight="1" x14ac:dyDescent="0.3">
      <c r="A30" s="76" t="s">
        <v>509</v>
      </c>
      <c r="B30" s="63">
        <v>0.2</v>
      </c>
      <c r="C30" s="75"/>
      <c r="D30" s="63">
        <v>0.2</v>
      </c>
      <c r="E30" s="64" t="s">
        <v>510</v>
      </c>
    </row>
    <row r="31" spans="1:5" ht="18" customHeight="1" x14ac:dyDescent="0.3">
      <c r="A31" s="74" t="s">
        <v>511</v>
      </c>
      <c r="B31" s="63">
        <v>0.15</v>
      </c>
      <c r="C31" s="75"/>
      <c r="D31" s="63">
        <v>0.18</v>
      </c>
      <c r="E31" s="66" t="s">
        <v>512</v>
      </c>
    </row>
    <row r="32" spans="1:5" ht="18" customHeight="1" x14ac:dyDescent="0.3">
      <c r="A32" s="76" t="s">
        <v>513</v>
      </c>
      <c r="B32" s="63">
        <v>0.12</v>
      </c>
      <c r="C32" s="75"/>
      <c r="D32" s="63">
        <v>0.15</v>
      </c>
      <c r="E32" s="64" t="s">
        <v>514</v>
      </c>
    </row>
    <row r="33" spans="1:5" ht="18" customHeight="1" x14ac:dyDescent="0.3">
      <c r="A33" s="74" t="s">
        <v>515</v>
      </c>
      <c r="B33" s="63">
        <v>0.05</v>
      </c>
      <c r="C33" s="75"/>
      <c r="D33" s="63">
        <v>0.06</v>
      </c>
      <c r="E33" s="66" t="s">
        <v>516</v>
      </c>
    </row>
    <row r="35" spans="1:5" ht="19.95" customHeight="1" x14ac:dyDescent="0.3">
      <c r="A35" s="150" t="s">
        <v>517</v>
      </c>
      <c r="B35" s="97"/>
      <c r="C35" s="97"/>
      <c r="D35" s="97"/>
      <c r="E35" s="97"/>
    </row>
    <row r="36" spans="1:5" ht="18" customHeight="1" x14ac:dyDescent="0.3">
      <c r="A36" s="56" t="s">
        <v>222</v>
      </c>
      <c r="B36" s="56" t="s">
        <v>518</v>
      </c>
      <c r="C36" s="56" t="s">
        <v>519</v>
      </c>
      <c r="D36" s="56" t="s">
        <v>520</v>
      </c>
      <c r="E36" s="56" t="s">
        <v>521</v>
      </c>
    </row>
    <row r="37" spans="1:5" ht="16.95" customHeight="1" x14ac:dyDescent="0.3">
      <c r="A37" s="69" t="s">
        <v>522</v>
      </c>
      <c r="B37" s="77">
        <f>B27*(1+B28)</f>
        <v>650</v>
      </c>
      <c r="C37" s="77">
        <f>B37/((1+$B$17)^1)</f>
        <v>650</v>
      </c>
      <c r="D37" s="77">
        <f>D27*(1+D28)</f>
        <v>132</v>
      </c>
      <c r="E37" s="77">
        <f>D37/((1+$C$17)^1)</f>
        <v>132</v>
      </c>
    </row>
    <row r="38" spans="1:5" ht="16.95" customHeight="1" x14ac:dyDescent="0.3">
      <c r="A38" s="73" t="s">
        <v>523</v>
      </c>
      <c r="B38" s="77">
        <f>B37*(1+B29)</f>
        <v>812.5</v>
      </c>
      <c r="C38" s="77">
        <f>B38/((1+$B$17)^2)</f>
        <v>812.5</v>
      </c>
      <c r="D38" s="77">
        <f>D37*(1+D29)</f>
        <v>161.04</v>
      </c>
      <c r="E38" s="77">
        <f>D38/((1+$C$17)^2)</f>
        <v>161.04</v>
      </c>
    </row>
    <row r="39" spans="1:5" ht="16.95" customHeight="1" x14ac:dyDescent="0.3">
      <c r="A39" s="69" t="s">
        <v>524</v>
      </c>
      <c r="B39" s="77">
        <f>B38*(1+B30)</f>
        <v>975</v>
      </c>
      <c r="C39" s="77">
        <f>B39/((1+$B$17)^3)</f>
        <v>975</v>
      </c>
      <c r="D39" s="77">
        <f>D38*(1+D30)</f>
        <v>193.24799999999999</v>
      </c>
      <c r="E39" s="77">
        <f>D39/((1+$C$17)^3)</f>
        <v>193.24799999999999</v>
      </c>
    </row>
    <row r="40" spans="1:5" ht="16.95" customHeight="1" x14ac:dyDescent="0.3">
      <c r="A40" s="73" t="s">
        <v>525</v>
      </c>
      <c r="B40" s="77">
        <f>B39*(1+B31)</f>
        <v>1121.25</v>
      </c>
      <c r="C40" s="77">
        <f>B40/((1+$B$17)^4)</f>
        <v>1121.25</v>
      </c>
      <c r="D40" s="77">
        <f>D39*(1+D31)</f>
        <v>228.03263999999999</v>
      </c>
      <c r="E40" s="77">
        <f>D40/((1+$C$17)^4)</f>
        <v>228.03263999999999</v>
      </c>
    </row>
    <row r="41" spans="1:5" ht="16.95" customHeight="1" x14ac:dyDescent="0.3">
      <c r="A41" s="69" t="s">
        <v>526</v>
      </c>
      <c r="B41" s="77">
        <f>B40*(1+B32)</f>
        <v>1255.8000000000002</v>
      </c>
      <c r="C41" s="77">
        <f>B41/((1+$B$17)^5)</f>
        <v>1255.8000000000002</v>
      </c>
      <c r="D41" s="77">
        <f>D40*(1+D32)</f>
        <v>262.23753599999998</v>
      </c>
      <c r="E41" s="77">
        <f>D41/((1+$C$17)^5)</f>
        <v>262.23753599999998</v>
      </c>
    </row>
    <row r="42" spans="1:5" ht="19.95" customHeight="1" x14ac:dyDescent="0.3">
      <c r="A42" s="151" t="s">
        <v>527</v>
      </c>
      <c r="B42" s="97"/>
      <c r="C42" s="97"/>
      <c r="D42" s="97"/>
      <c r="E42" s="97"/>
    </row>
    <row r="43" spans="1:5" ht="18" customHeight="1" x14ac:dyDescent="0.3">
      <c r="A43" s="74" t="s">
        <v>528</v>
      </c>
      <c r="B43" s="77">
        <f>B41*(1+B33)</f>
        <v>1318.5900000000001</v>
      </c>
      <c r="D43" s="77">
        <f>D41*(1+D33)</f>
        <v>277.97178816000002</v>
      </c>
    </row>
    <row r="44" spans="1:5" ht="18" customHeight="1" x14ac:dyDescent="0.3">
      <c r="A44" s="76" t="s">
        <v>529</v>
      </c>
      <c r="B44" s="77">
        <f>B43/(B17-B33)</f>
        <v>-26371.800000000003</v>
      </c>
      <c r="D44" s="77">
        <f>D43/(C17-D33)</f>
        <v>-4632.8631360000008</v>
      </c>
    </row>
    <row r="45" spans="1:5" ht="18" customHeight="1" x14ac:dyDescent="0.3">
      <c r="A45" s="74" t="s">
        <v>530</v>
      </c>
      <c r="B45" s="77">
        <f>B44/((1+$B$17)^5)</f>
        <v>-26371.800000000003</v>
      </c>
      <c r="D45" s="77">
        <f>D44/((1+$C$17)^5)</f>
        <v>-4632.8631360000008</v>
      </c>
    </row>
    <row r="46" spans="1:5" ht="18" customHeight="1" x14ac:dyDescent="0.3">
      <c r="A46" s="76" t="s">
        <v>531</v>
      </c>
      <c r="B46" s="77">
        <f>SUM(C37:C41)</f>
        <v>4814.55</v>
      </c>
      <c r="D46" s="77">
        <f>SUM(E37:E41)</f>
        <v>976.55817599999989</v>
      </c>
    </row>
    <row r="47" spans="1:5" ht="18" customHeight="1" x14ac:dyDescent="0.3">
      <c r="A47" s="78" t="s">
        <v>532</v>
      </c>
      <c r="B47" s="79">
        <f>B45+B46</f>
        <v>-21557.250000000004</v>
      </c>
      <c r="D47" s="79">
        <f>D45+D46</f>
        <v>-3656.3049600000008</v>
      </c>
    </row>
    <row r="49" spans="1:5" ht="19.95" customHeight="1" x14ac:dyDescent="0.3">
      <c r="A49" s="153" t="s">
        <v>533</v>
      </c>
      <c r="B49" s="97"/>
      <c r="C49" s="97"/>
      <c r="D49" s="97"/>
      <c r="E49" s="97"/>
    </row>
    <row r="50" spans="1:5" ht="18" customHeight="1" x14ac:dyDescent="0.3">
      <c r="A50" s="56" t="s">
        <v>474</v>
      </c>
      <c r="B50" s="56" t="s">
        <v>416</v>
      </c>
      <c r="C50" s="56" t="s">
        <v>441</v>
      </c>
      <c r="D50" s="56" t="s">
        <v>475</v>
      </c>
    </row>
    <row r="51" spans="1:5" ht="18" customHeight="1" x14ac:dyDescent="0.3">
      <c r="A51" s="74" t="s">
        <v>534</v>
      </c>
      <c r="B51" s="70">
        <v>8500</v>
      </c>
      <c r="C51" s="70"/>
      <c r="E51" s="66" t="s">
        <v>535</v>
      </c>
    </row>
    <row r="52" spans="1:5" ht="18" customHeight="1" x14ac:dyDescent="0.3">
      <c r="A52" s="76" t="s">
        <v>536</v>
      </c>
      <c r="B52" s="77">
        <f>-B51</f>
        <v>-8500</v>
      </c>
      <c r="C52" s="77"/>
      <c r="E52" s="64" t="s">
        <v>537</v>
      </c>
    </row>
    <row r="53" spans="1:5" ht="18" customHeight="1" x14ac:dyDescent="0.3">
      <c r="A53" s="74" t="s">
        <v>538</v>
      </c>
      <c r="B53" s="77">
        <f>B37</f>
        <v>650</v>
      </c>
      <c r="C53" s="77"/>
      <c r="E53" s="66" t="s">
        <v>539</v>
      </c>
    </row>
    <row r="54" spans="1:5" ht="18" customHeight="1" x14ac:dyDescent="0.3">
      <c r="A54" s="76" t="s">
        <v>540</v>
      </c>
      <c r="B54" s="77">
        <f>B38</f>
        <v>812.5</v>
      </c>
      <c r="C54" s="77"/>
      <c r="E54" s="64" t="s">
        <v>523</v>
      </c>
    </row>
    <row r="55" spans="1:5" ht="18" customHeight="1" x14ac:dyDescent="0.3">
      <c r="A55" s="74" t="s">
        <v>541</v>
      </c>
      <c r="B55" s="77">
        <f>B39</f>
        <v>975</v>
      </c>
      <c r="C55" s="77"/>
      <c r="E55" s="66" t="s">
        <v>524</v>
      </c>
    </row>
    <row r="56" spans="1:5" ht="18" customHeight="1" x14ac:dyDescent="0.3">
      <c r="A56" s="76" t="s">
        <v>542</v>
      </c>
      <c r="B56" s="77">
        <f>B40</f>
        <v>1121.25</v>
      </c>
      <c r="C56" s="77"/>
      <c r="E56" s="64" t="s">
        <v>525</v>
      </c>
    </row>
    <row r="57" spans="1:5" ht="18" customHeight="1" x14ac:dyDescent="0.3">
      <c r="A57" s="74" t="s">
        <v>543</v>
      </c>
      <c r="B57" s="77">
        <f>B41+B44</f>
        <v>-25116.000000000004</v>
      </c>
      <c r="C57" s="77"/>
      <c r="E57" s="66" t="s">
        <v>544</v>
      </c>
    </row>
    <row r="58" spans="1:5" ht="18" customHeight="1" x14ac:dyDescent="0.3">
      <c r="A58" s="80" t="s">
        <v>545</v>
      </c>
      <c r="B58" s="81" t="str">
        <f>IFERROR(IRR(B52:B57,0.1),"#")</f>
        <v>#</v>
      </c>
      <c r="C58" s="81"/>
      <c r="E58" s="64" t="s">
        <v>546</v>
      </c>
    </row>
    <row r="59" spans="1:5" ht="18" customHeight="1" x14ac:dyDescent="0.3">
      <c r="A59" s="82" t="s">
        <v>547</v>
      </c>
      <c r="B59" s="81" t="str">
        <f>IFERROR(B58-B17,"N/A")</f>
        <v>N/A</v>
      </c>
      <c r="C59" s="81"/>
      <c r="E59" s="66" t="s">
        <v>548</v>
      </c>
    </row>
  </sheetData>
  <mergeCells count="8">
    <mergeCell ref="A49:E49"/>
    <mergeCell ref="A1:E1"/>
    <mergeCell ref="A17:E17"/>
    <mergeCell ref="A35:E35"/>
    <mergeCell ref="A4:E4"/>
    <mergeCell ref="A2:E2"/>
    <mergeCell ref="A25:E25"/>
    <mergeCell ref="A42:E42"/>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C62828"/>
  </sheetPr>
  <dimension ref="A1:E34"/>
  <sheetViews>
    <sheetView showGridLines="0" tabSelected="1" topLeftCell="A6" workbookViewId="0">
      <selection activeCell="A6" sqref="A6"/>
    </sheetView>
  </sheetViews>
  <sheetFormatPr defaultRowHeight="14.4" x14ac:dyDescent="0.3"/>
  <cols>
    <col min="1" max="1" width="35" customWidth="1"/>
    <col min="2" max="4" width="18" customWidth="1"/>
    <col min="5" max="5" width="45" customWidth="1"/>
  </cols>
  <sheetData>
    <row r="1" spans="1:5" ht="25.95" customHeight="1" x14ac:dyDescent="0.3">
      <c r="A1" s="154" t="s">
        <v>549</v>
      </c>
      <c r="B1" s="97"/>
      <c r="C1" s="97"/>
      <c r="D1" s="97"/>
      <c r="E1" s="97"/>
    </row>
    <row r="2" spans="1:5" ht="13.95" customHeight="1" x14ac:dyDescent="0.3">
      <c r="A2" s="158" t="s">
        <v>550</v>
      </c>
      <c r="B2" s="97"/>
      <c r="C2" s="97"/>
      <c r="D2" s="97"/>
      <c r="E2" s="97"/>
    </row>
    <row r="4" spans="1:5" ht="19.95" customHeight="1" x14ac:dyDescent="0.3">
      <c r="A4" s="156" t="s">
        <v>551</v>
      </c>
      <c r="B4" s="97"/>
      <c r="C4" s="97"/>
      <c r="D4" s="97"/>
      <c r="E4" s="97"/>
    </row>
    <row r="5" spans="1:5" ht="30" customHeight="1" x14ac:dyDescent="0.3">
      <c r="A5" s="56" t="s">
        <v>552</v>
      </c>
      <c r="B5" s="56" t="s">
        <v>553</v>
      </c>
      <c r="C5" s="56" t="s">
        <v>554</v>
      </c>
      <c r="D5" s="56" t="s">
        <v>555</v>
      </c>
      <c r="E5" s="56" t="s">
        <v>556</v>
      </c>
    </row>
    <row r="6" spans="1:5" ht="55.05" customHeight="1" x14ac:dyDescent="0.3">
      <c r="A6" s="76" t="s">
        <v>557</v>
      </c>
      <c r="B6" s="83">
        <v>4</v>
      </c>
      <c r="C6" s="83">
        <v>4</v>
      </c>
      <c r="D6" s="84" t="s">
        <v>558</v>
      </c>
      <c r="E6" s="59" t="s">
        <v>559</v>
      </c>
    </row>
    <row r="7" spans="1:5" ht="55.05" customHeight="1" x14ac:dyDescent="0.3">
      <c r="A7" s="74" t="s">
        <v>560</v>
      </c>
      <c r="B7" s="85">
        <v>3</v>
      </c>
      <c r="C7" s="83">
        <v>4</v>
      </c>
      <c r="D7" s="84" t="s">
        <v>561</v>
      </c>
      <c r="E7" s="58" t="s">
        <v>562</v>
      </c>
    </row>
    <row r="8" spans="1:5" ht="55.05" customHeight="1" x14ac:dyDescent="0.3">
      <c r="A8" s="76" t="s">
        <v>563</v>
      </c>
      <c r="B8" s="85">
        <v>3</v>
      </c>
      <c r="C8" s="83">
        <v>4</v>
      </c>
      <c r="D8" s="84" t="s">
        <v>558</v>
      </c>
      <c r="E8" s="59" t="s">
        <v>564</v>
      </c>
    </row>
    <row r="9" spans="1:5" ht="55.05" customHeight="1" x14ac:dyDescent="0.3">
      <c r="A9" s="74" t="s">
        <v>565</v>
      </c>
      <c r="B9" s="83">
        <v>5</v>
      </c>
      <c r="C9" s="85">
        <v>3</v>
      </c>
      <c r="D9" s="84" t="s">
        <v>558</v>
      </c>
      <c r="E9" s="58" t="s">
        <v>566</v>
      </c>
    </row>
    <row r="10" spans="1:5" ht="55.05" customHeight="1" x14ac:dyDescent="0.3">
      <c r="A10" s="76" t="s">
        <v>567</v>
      </c>
      <c r="B10" s="86">
        <v>2</v>
      </c>
      <c r="C10" s="85">
        <v>3</v>
      </c>
      <c r="D10" s="84" t="s">
        <v>558</v>
      </c>
      <c r="E10" s="59" t="s">
        <v>568</v>
      </c>
    </row>
    <row r="11" spans="1:5" ht="55.05" customHeight="1" x14ac:dyDescent="0.3">
      <c r="A11" s="74" t="s">
        <v>569</v>
      </c>
      <c r="B11" s="86">
        <v>2</v>
      </c>
      <c r="C11" s="83">
        <v>5</v>
      </c>
      <c r="D11" s="84" t="s">
        <v>570</v>
      </c>
      <c r="E11" s="58" t="s">
        <v>571</v>
      </c>
    </row>
    <row r="12" spans="1:5" ht="55.05" customHeight="1" x14ac:dyDescent="0.3">
      <c r="A12" s="76" t="s">
        <v>572</v>
      </c>
      <c r="B12" s="86">
        <v>1</v>
      </c>
      <c r="C12" s="83">
        <v>4</v>
      </c>
      <c r="D12" s="84" t="s">
        <v>570</v>
      </c>
      <c r="E12" s="59" t="s">
        <v>573</v>
      </c>
    </row>
    <row r="13" spans="1:5" ht="22.05" customHeight="1" x14ac:dyDescent="0.3">
      <c r="A13" s="87" t="s">
        <v>574</v>
      </c>
      <c r="B13" s="88">
        <v>3</v>
      </c>
      <c r="C13" s="89">
        <v>3.8</v>
      </c>
      <c r="E13" s="90" t="s">
        <v>575</v>
      </c>
    </row>
    <row r="15" spans="1:5" ht="19.95" customHeight="1" x14ac:dyDescent="0.3">
      <c r="A15" s="159" t="s">
        <v>576</v>
      </c>
      <c r="B15" s="97"/>
      <c r="C15" s="97"/>
      <c r="D15" s="97"/>
      <c r="E15" s="97"/>
    </row>
    <row r="16" spans="1:5" ht="30" customHeight="1" x14ac:dyDescent="0.3">
      <c r="A16" s="56" t="s">
        <v>577</v>
      </c>
      <c r="B16" s="56" t="s">
        <v>578</v>
      </c>
      <c r="C16" s="56" t="s">
        <v>579</v>
      </c>
      <c r="D16" s="56" t="s">
        <v>555</v>
      </c>
      <c r="E16" s="56" t="s">
        <v>580</v>
      </c>
    </row>
    <row r="17" spans="1:5" ht="55.05" customHeight="1" x14ac:dyDescent="0.3">
      <c r="A17" s="74" t="s">
        <v>581</v>
      </c>
      <c r="B17" s="86">
        <v>4</v>
      </c>
      <c r="C17" s="86">
        <v>4</v>
      </c>
      <c r="D17" s="84" t="s">
        <v>558</v>
      </c>
      <c r="E17" s="58" t="s">
        <v>582</v>
      </c>
    </row>
    <row r="18" spans="1:5" ht="55.05" customHeight="1" x14ac:dyDescent="0.3">
      <c r="A18" s="76" t="s">
        <v>583</v>
      </c>
      <c r="B18" s="86">
        <v>4</v>
      </c>
      <c r="C18" s="83">
        <v>1</v>
      </c>
      <c r="D18" s="84" t="s">
        <v>561</v>
      </c>
      <c r="E18" s="59" t="s">
        <v>584</v>
      </c>
    </row>
    <row r="19" spans="1:5" ht="55.05" customHeight="1" x14ac:dyDescent="0.3">
      <c r="A19" s="74" t="s">
        <v>585</v>
      </c>
      <c r="B19" s="85">
        <v>3</v>
      </c>
      <c r="C19" s="83">
        <v>1</v>
      </c>
      <c r="D19" s="84" t="s">
        <v>558</v>
      </c>
      <c r="E19" s="58" t="s">
        <v>586</v>
      </c>
    </row>
    <row r="20" spans="1:5" ht="55.05" customHeight="1" x14ac:dyDescent="0.3">
      <c r="A20" s="76" t="s">
        <v>587</v>
      </c>
      <c r="B20" s="85">
        <v>3</v>
      </c>
      <c r="C20" s="86">
        <v>5</v>
      </c>
      <c r="D20" s="84" t="s">
        <v>558</v>
      </c>
      <c r="E20" s="59" t="s">
        <v>588</v>
      </c>
    </row>
    <row r="21" spans="1:5" ht="55.05" customHeight="1" x14ac:dyDescent="0.3">
      <c r="A21" s="74" t="s">
        <v>589</v>
      </c>
      <c r="B21" s="85">
        <v>3</v>
      </c>
      <c r="C21" s="85">
        <v>3</v>
      </c>
      <c r="D21" s="84" t="s">
        <v>570</v>
      </c>
      <c r="E21" s="58" t="s">
        <v>590</v>
      </c>
    </row>
    <row r="22" spans="1:5" ht="55.05" customHeight="1" x14ac:dyDescent="0.3">
      <c r="A22" s="76" t="s">
        <v>591</v>
      </c>
      <c r="B22" s="85">
        <v>3</v>
      </c>
      <c r="C22" s="86">
        <v>4</v>
      </c>
      <c r="D22" s="84" t="s">
        <v>570</v>
      </c>
      <c r="E22" s="59" t="s">
        <v>592</v>
      </c>
    </row>
    <row r="23" spans="1:5" ht="55.05" customHeight="1" x14ac:dyDescent="0.3">
      <c r="A23" s="74" t="s">
        <v>593</v>
      </c>
      <c r="B23" s="83">
        <v>2</v>
      </c>
      <c r="C23" s="83">
        <v>2</v>
      </c>
      <c r="D23" s="84" t="s">
        <v>558</v>
      </c>
      <c r="E23" s="58" t="s">
        <v>594</v>
      </c>
    </row>
    <row r="24" spans="1:5" ht="22.05" customHeight="1" x14ac:dyDescent="0.3">
      <c r="A24" s="91" t="s">
        <v>595</v>
      </c>
      <c r="B24" s="88">
        <v>3.2</v>
      </c>
      <c r="C24" s="89">
        <v>2.7</v>
      </c>
      <c r="E24" s="92" t="s">
        <v>596</v>
      </c>
    </row>
    <row r="26" spans="1:5" ht="19.95" customHeight="1" x14ac:dyDescent="0.3">
      <c r="A26" s="157" t="s">
        <v>597</v>
      </c>
      <c r="B26" s="97"/>
      <c r="C26" s="97"/>
      <c r="D26" s="97"/>
      <c r="E26" s="97"/>
    </row>
    <row r="27" spans="1:5" ht="19.95" customHeight="1" x14ac:dyDescent="0.3">
      <c r="A27" s="56" t="s">
        <v>598</v>
      </c>
      <c r="B27" s="56" t="s">
        <v>416</v>
      </c>
      <c r="C27" s="56" t="s">
        <v>441</v>
      </c>
      <c r="D27" s="56" t="s">
        <v>599</v>
      </c>
      <c r="E27" s="56" t="s">
        <v>600</v>
      </c>
    </row>
    <row r="28" spans="1:5" ht="45" customHeight="1" x14ac:dyDescent="0.3">
      <c r="A28" s="80" t="s">
        <v>601</v>
      </c>
      <c r="B28" s="73" t="s">
        <v>602</v>
      </c>
      <c r="C28" s="73" t="s">
        <v>603</v>
      </c>
      <c r="D28" s="93" t="s">
        <v>604</v>
      </c>
      <c r="E28" s="93" t="s">
        <v>605</v>
      </c>
    </row>
    <row r="29" spans="1:5" ht="45" customHeight="1" x14ac:dyDescent="0.3">
      <c r="A29" s="82" t="s">
        <v>606</v>
      </c>
      <c r="B29" s="69" t="s">
        <v>607</v>
      </c>
      <c r="C29" s="69" t="s">
        <v>608</v>
      </c>
      <c r="D29" s="94" t="s">
        <v>609</v>
      </c>
      <c r="E29" s="94" t="s">
        <v>610</v>
      </c>
    </row>
    <row r="30" spans="1:5" ht="45" customHeight="1" x14ac:dyDescent="0.3">
      <c r="A30" s="80" t="s">
        <v>611</v>
      </c>
      <c r="B30" s="95" t="s">
        <v>612</v>
      </c>
      <c r="C30" s="96" t="s">
        <v>613</v>
      </c>
      <c r="D30" s="93" t="s">
        <v>614</v>
      </c>
      <c r="E30" s="93" t="s">
        <v>615</v>
      </c>
    </row>
    <row r="31" spans="1:5" ht="45" customHeight="1" x14ac:dyDescent="0.3">
      <c r="A31" s="82" t="s">
        <v>616</v>
      </c>
      <c r="B31" s="69" t="s">
        <v>617</v>
      </c>
      <c r="C31" s="69" t="s">
        <v>618</v>
      </c>
      <c r="D31" s="94" t="s">
        <v>619</v>
      </c>
      <c r="E31" s="94" t="s">
        <v>620</v>
      </c>
    </row>
    <row r="32" spans="1:5" ht="45" customHeight="1" x14ac:dyDescent="0.3">
      <c r="A32" s="80" t="s">
        <v>621</v>
      </c>
      <c r="B32" s="73" t="s">
        <v>622</v>
      </c>
      <c r="C32" s="73" t="s">
        <v>623</v>
      </c>
      <c r="D32" s="93"/>
      <c r="E32" s="93"/>
    </row>
    <row r="33" spans="1:5" ht="45" customHeight="1" x14ac:dyDescent="0.3">
      <c r="A33" s="82" t="s">
        <v>624</v>
      </c>
      <c r="B33" s="69" t="s">
        <v>625</v>
      </c>
      <c r="C33" s="69" t="s">
        <v>626</v>
      </c>
      <c r="D33" s="94"/>
      <c r="E33" s="94"/>
    </row>
    <row r="34" spans="1:5" ht="45" customHeight="1" x14ac:dyDescent="0.3">
      <c r="A34" s="80" t="s">
        <v>627</v>
      </c>
      <c r="B34" s="73" t="s">
        <v>628</v>
      </c>
      <c r="C34" s="73" t="s">
        <v>629</v>
      </c>
      <c r="D34" s="93"/>
      <c r="E34" s="93"/>
    </row>
  </sheetData>
  <mergeCells count="5">
    <mergeCell ref="A4:E4"/>
    <mergeCell ref="A26:E26"/>
    <mergeCell ref="A2:E2"/>
    <mergeCell ref="A15:E15"/>
    <mergeCell ref="A1:E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Cover</vt:lpstr>
      <vt:lpstr> ABFRL Financial Data</vt:lpstr>
      <vt:lpstr> ABFRL Ratio Analysis</vt:lpstr>
      <vt:lpstr> DAM Capital Financial Data</vt:lpstr>
      <vt:lpstr>⑥ Visualizations</vt:lpstr>
      <vt:lpstr>⑦ Interpretation</vt:lpstr>
      <vt:lpstr>⑧ Dashboard</vt:lpstr>
      <vt:lpstr> DAM Capital Ratio Analysis</vt:lpstr>
      <vt:lpstr>⑨ Data Sources</vt:lpstr>
      <vt:lpstr>IRR &amp; NPV Analysis</vt:lpstr>
      <vt:lpstr>Risk &amp; Reward Scorecard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gobinath r c</cp:lastModifiedBy>
  <cp:revision>2</cp:revision>
  <dcterms:created xsi:type="dcterms:W3CDTF">2026-04-07T09:19:23Z</dcterms:created>
  <dcterms:modified xsi:type="dcterms:W3CDTF">2026-04-14T08:27:28Z</dcterms:modified>
  <dc:language>en-US</dc:language>
</cp:coreProperties>
</file>