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20" windowWidth="18960" windowHeight="11020" firstSheet="1" activeTab="1"/>
  </bookViews>
  <sheets>
    <sheet name="BALANCE SHEET" sheetId="1" r:id="rId1"/>
    <sheet name="P &amp; L" sheetId="5" r:id="rId2"/>
    <sheet name="CHNAGE IN EQUITY" sheetId="11" r:id="rId3"/>
    <sheet name="CASH FLOW STATEMENT" sheetId="17" r:id="rId4"/>
    <sheet name="SUMMARY" sheetId="23" r:id="rId5"/>
    <sheet name="RATIO ANALYSIS " sheetId="24" r:id="rId6"/>
  </sheets>
  <calcPr calcId="144525" calcMode="autoNoTable"/>
</workbook>
</file>

<file path=xl/calcChain.xml><?xml version="1.0" encoding="utf-8"?>
<calcChain xmlns="http://schemas.openxmlformats.org/spreadsheetml/2006/main">
  <c r="C18" i="5" l="1"/>
  <c r="B18" i="5"/>
  <c r="C16" i="5"/>
  <c r="B16" i="5"/>
  <c r="C15" i="5"/>
  <c r="B15" i="5"/>
  <c r="C4" i="5"/>
  <c r="B4" i="5"/>
  <c r="G4" i="24" l="1"/>
  <c r="G5" i="24"/>
  <c r="G6" i="24"/>
  <c r="G7" i="24"/>
  <c r="G8" i="24"/>
  <c r="G9" i="24"/>
  <c r="G10" i="24"/>
  <c r="G3" i="24"/>
  <c r="D3" i="24" l="1"/>
  <c r="E10" i="24"/>
  <c r="D10" i="24"/>
  <c r="E9" i="24"/>
  <c r="D9" i="24"/>
  <c r="E8" i="24"/>
  <c r="D8" i="24"/>
  <c r="E7" i="24"/>
  <c r="D7" i="24"/>
  <c r="E6" i="24"/>
  <c r="D6" i="24"/>
  <c r="E5" i="24"/>
  <c r="D5" i="24"/>
  <c r="E4" i="24"/>
  <c r="E3" i="24"/>
  <c r="D4" i="24"/>
</calcChain>
</file>

<file path=xl/sharedStrings.xml><?xml version="1.0" encoding="utf-8"?>
<sst xmlns="http://schemas.openxmlformats.org/spreadsheetml/2006/main" count="396" uniqueCount="246">
  <si>
    <r>
      <rPr>
        <b/>
        <sz val="8.5"/>
        <rFont val="Calibri"/>
        <family val="1"/>
      </rPr>
      <t>Consolidated statement of financial position</t>
    </r>
  </si>
  <si>
    <r>
      <rPr>
        <b/>
        <sz val="8.5"/>
        <rFont val="Calibri"/>
        <family val="1"/>
      </rPr>
      <t>As at March 31, 2025</t>
    </r>
  </si>
  <si>
    <r>
      <rPr>
        <b/>
        <sz val="8.5"/>
        <rFont val="Calibri"/>
        <family val="1"/>
      </rPr>
      <t>As at March 31, 2024</t>
    </r>
  </si>
  <si>
    <r>
      <rPr>
        <b/>
        <sz val="8.5"/>
        <rFont val="Calibri"/>
        <family val="1"/>
      </rPr>
      <t>ASSETS</t>
    </r>
  </si>
  <si>
    <r>
      <rPr>
        <b/>
        <sz val="8.5"/>
        <rFont val="Calibri"/>
        <family val="1"/>
      </rPr>
      <t>Current assets</t>
    </r>
  </si>
  <si>
    <r>
      <rPr>
        <sz val="8.5"/>
        <rFont val="Calibri"/>
        <family val="1"/>
      </rPr>
      <t>Cash and cash equivalents</t>
    </r>
  </si>
  <si>
    <r>
      <rPr>
        <sz val="8.5"/>
        <rFont val="Calibri"/>
        <family val="1"/>
      </rPr>
      <t>Bank deposits</t>
    </r>
  </si>
  <si>
    <r>
      <rPr>
        <sz val="8.5"/>
        <rFont val="Calibri"/>
        <family val="1"/>
      </rPr>
      <t>Investments</t>
    </r>
  </si>
  <si>
    <r>
      <rPr>
        <sz val="8.5"/>
        <rFont val="Calibri"/>
        <family val="1"/>
      </rPr>
      <t>Trade receivables</t>
    </r>
  </si>
  <si>
    <r>
      <rPr>
        <sz val="8.5"/>
        <rFont val="Calibri"/>
        <family val="1"/>
      </rPr>
      <t>Billed</t>
    </r>
  </si>
  <si>
    <r>
      <rPr>
        <sz val="8.5"/>
        <rFont val="Calibri"/>
        <family val="1"/>
      </rPr>
      <t>Unbilled</t>
    </r>
  </si>
  <si>
    <r>
      <rPr>
        <sz val="8.5"/>
        <rFont val="Calibri"/>
        <family val="1"/>
      </rPr>
      <t>Other financial assets</t>
    </r>
  </si>
  <si>
    <r>
      <rPr>
        <sz val="8.5"/>
        <rFont val="Calibri"/>
        <family val="1"/>
      </rPr>
      <t>Income tax assets (net)</t>
    </r>
  </si>
  <si>
    <r>
      <rPr>
        <sz val="8.5"/>
        <rFont val="Calibri"/>
        <family val="1"/>
      </rPr>
      <t>Other assets</t>
    </r>
  </si>
  <si>
    <r>
      <rPr>
        <b/>
        <sz val="8.5"/>
        <rFont val="Calibri"/>
        <family val="1"/>
      </rPr>
      <t>Total current assets</t>
    </r>
  </si>
  <si>
    <r>
      <rPr>
        <b/>
        <sz val="8.5"/>
        <rFont val="Calibri"/>
        <family val="1"/>
      </rPr>
      <t>1,23,011</t>
    </r>
  </si>
  <si>
    <r>
      <rPr>
        <b/>
        <sz val="8.5"/>
        <rFont val="Calibri"/>
        <family val="1"/>
      </rPr>
      <t>1,12,984</t>
    </r>
  </si>
  <si>
    <r>
      <rPr>
        <b/>
        <sz val="8.5"/>
        <rFont val="Calibri"/>
        <family val="1"/>
      </rPr>
      <t>Non-current assets</t>
    </r>
  </si>
  <si>
    <r>
      <rPr>
        <sz val="8.5"/>
        <rFont val="Calibri"/>
        <family val="1"/>
      </rPr>
      <t>Deferred tax assets (net)</t>
    </r>
  </si>
  <si>
    <r>
      <rPr>
        <sz val="8.5"/>
        <rFont val="Calibri"/>
        <family val="1"/>
      </rPr>
      <t>Property, plant and equipment</t>
    </r>
  </si>
  <si>
    <r>
      <rPr>
        <sz val="8.5"/>
        <rFont val="Calibri"/>
        <family val="1"/>
      </rPr>
      <t>Right-of-use assets</t>
    </r>
  </si>
  <si>
    <r>
      <rPr>
        <sz val="8.5"/>
        <rFont val="Calibri"/>
        <family val="1"/>
      </rPr>
      <t>Goodwill</t>
    </r>
  </si>
  <si>
    <r>
      <rPr>
        <sz val="8.5"/>
        <rFont val="Calibri"/>
        <family val="1"/>
      </rPr>
      <t>Other intangible assets</t>
    </r>
  </si>
  <si>
    <r>
      <rPr>
        <b/>
        <sz val="8.5"/>
        <rFont val="Calibri"/>
        <family val="1"/>
      </rPr>
      <t>Total non-current assets</t>
    </r>
  </si>
  <si>
    <r>
      <rPr>
        <b/>
        <sz val="8.5"/>
        <rFont val="Calibri"/>
        <family val="1"/>
      </rPr>
      <t>TOTAL ASSETS</t>
    </r>
  </si>
  <si>
    <r>
      <rPr>
        <b/>
        <sz val="8.5"/>
        <rFont val="Calibri"/>
        <family val="1"/>
      </rPr>
      <t>1,61,755</t>
    </r>
  </si>
  <si>
    <r>
      <rPr>
        <b/>
        <sz val="8.5"/>
        <rFont val="Calibri"/>
        <family val="1"/>
      </rPr>
      <t>1,48,572</t>
    </r>
  </si>
  <si>
    <r>
      <rPr>
        <b/>
        <sz val="8.5"/>
        <rFont val="Calibri"/>
        <family val="1"/>
      </rPr>
      <t>LIABILITIES AND EQUITY</t>
    </r>
  </si>
  <si>
    <r>
      <rPr>
        <b/>
        <sz val="8.5"/>
        <rFont val="Calibri"/>
        <family val="1"/>
      </rPr>
      <t>Liabilities</t>
    </r>
  </si>
  <si>
    <r>
      <rPr>
        <b/>
        <sz val="8.5"/>
        <rFont val="Calibri"/>
        <family val="1"/>
      </rPr>
      <t>Current liabilities</t>
    </r>
  </si>
  <si>
    <r>
      <rPr>
        <sz val="8.5"/>
        <rFont val="Calibri"/>
        <family val="1"/>
      </rPr>
      <t>Lease liabilities</t>
    </r>
  </si>
  <si>
    <r>
      <rPr>
        <sz val="8.5"/>
        <rFont val="Calibri"/>
        <family val="1"/>
      </rPr>
      <t>Trade payables</t>
    </r>
  </si>
  <si>
    <r>
      <rPr>
        <sz val="8.5"/>
        <rFont val="Calibri"/>
        <family val="1"/>
      </rPr>
      <t>Other financial liabilities</t>
    </r>
  </si>
  <si>
    <r>
      <rPr>
        <sz val="8.5"/>
        <rFont val="Calibri"/>
        <family val="1"/>
      </rPr>
      <t>Unearned and deferred revenue</t>
    </r>
  </si>
  <si>
    <r>
      <rPr>
        <sz val="8.5"/>
        <rFont val="Calibri"/>
        <family val="1"/>
      </rPr>
      <t>Other liabilities</t>
    </r>
  </si>
  <si>
    <r>
      <rPr>
        <sz val="8.5"/>
        <rFont val="Calibri"/>
        <family val="1"/>
      </rPr>
      <t>Provisions</t>
    </r>
  </si>
  <si>
    <r>
      <rPr>
        <sz val="8.5"/>
        <rFont val="Calibri"/>
        <family val="1"/>
      </rPr>
      <t>Employee benefit obligations</t>
    </r>
  </si>
  <si>
    <r>
      <rPr>
        <sz val="8.5"/>
        <rFont val="Calibri"/>
        <family val="1"/>
      </rPr>
      <t>Income tax liabilities (net)</t>
    </r>
  </si>
  <si>
    <r>
      <rPr>
        <b/>
        <sz val="8.5"/>
        <rFont val="Calibri"/>
        <family val="1"/>
      </rPr>
      <t>Total current liabilities</t>
    </r>
  </si>
  <si>
    <r>
      <rPr>
        <b/>
        <sz val="8.5"/>
        <rFont val="Calibri"/>
        <family val="1"/>
      </rPr>
      <t>Non-current liabilities</t>
    </r>
  </si>
  <si>
    <r>
      <rPr>
        <sz val="8.5"/>
        <rFont val="Calibri"/>
        <family val="1"/>
      </rPr>
      <t>Deferred tax liabilities (net)</t>
    </r>
  </si>
  <si>
    <r>
      <rPr>
        <b/>
        <sz val="8.5"/>
        <rFont val="Calibri"/>
        <family val="1"/>
      </rPr>
      <t>Total non-current liabilities</t>
    </r>
  </si>
  <si>
    <r>
      <rPr>
        <b/>
        <sz val="8.5"/>
        <rFont val="Calibri"/>
        <family val="1"/>
      </rPr>
      <t>TOTAL LIABILITIES</t>
    </r>
  </si>
  <si>
    <r>
      <rPr>
        <b/>
        <sz val="8.5"/>
        <rFont val="Calibri"/>
        <family val="1"/>
      </rPr>
      <t>Equity</t>
    </r>
  </si>
  <si>
    <r>
      <rPr>
        <sz val="8.5"/>
        <rFont val="Calibri"/>
        <family val="1"/>
      </rPr>
      <t>Share capital</t>
    </r>
  </si>
  <si>
    <r>
      <rPr>
        <sz val="8.5"/>
        <rFont val="Calibri"/>
        <family val="1"/>
      </rPr>
      <t>Retained earnings</t>
    </r>
  </si>
  <si>
    <r>
      <rPr>
        <sz val="8.5"/>
        <rFont val="Calibri"/>
        <family val="1"/>
      </rPr>
      <t>Other equity</t>
    </r>
  </si>
  <si>
    <r>
      <rPr>
        <b/>
        <sz val="8.5"/>
        <rFont val="Calibri"/>
        <family val="1"/>
      </rPr>
      <t>Equity attributable to shareholders of the Company</t>
    </r>
  </si>
  <si>
    <r>
      <rPr>
        <sz val="8.5"/>
        <rFont val="Calibri"/>
        <family val="1"/>
      </rPr>
      <t>Non-controlling interests</t>
    </r>
  </si>
  <si>
    <r>
      <rPr>
        <b/>
        <sz val="8.5"/>
        <rFont val="Calibri"/>
        <family val="1"/>
      </rPr>
      <t>TOTAL EQUITY</t>
    </r>
  </si>
  <si>
    <r>
      <rPr>
        <b/>
        <sz val="8.5"/>
        <rFont val="Calibri"/>
        <family val="1"/>
      </rPr>
      <t>TOTAL LIABILITIES AND EQUITY</t>
    </r>
  </si>
  <si>
    <r>
      <rPr>
        <b/>
        <sz val="8"/>
        <rFont val="Calibri"/>
        <family val="1"/>
      </rPr>
      <t>Balance as at April 1, 2024</t>
    </r>
  </si>
  <si>
    <r>
      <rPr>
        <b/>
        <sz val="8"/>
        <rFont val="Calibri"/>
        <family val="1"/>
      </rPr>
      <t>361,80,87,518</t>
    </r>
  </si>
  <si>
    <r>
      <rPr>
        <sz val="8"/>
        <rFont val="Calibri"/>
        <family val="1"/>
      </rPr>
      <t>Profit for the year</t>
    </r>
  </si>
  <si>
    <r>
      <rPr>
        <sz val="8"/>
        <rFont val="Calibri"/>
        <family val="1"/>
      </rPr>
      <t>-</t>
    </r>
  </si>
  <si>
    <r>
      <rPr>
        <sz val="8"/>
        <rFont val="Calibri"/>
        <family val="1"/>
      </rPr>
      <t>Other comprehensive income / (losses)</t>
    </r>
  </si>
  <si>
    <r>
      <rPr>
        <b/>
        <sz val="8"/>
        <rFont val="Calibri"/>
        <family val="1"/>
      </rPr>
      <t>Total comprehensive income</t>
    </r>
  </si>
  <si>
    <r>
      <rPr>
        <b/>
        <sz val="8"/>
        <rFont val="Calibri"/>
        <family val="1"/>
      </rPr>
      <t>-</t>
    </r>
  </si>
  <si>
    <r>
      <rPr>
        <sz val="8"/>
        <rFont val="Calibri"/>
        <family val="1"/>
      </rPr>
      <t>Dividend</t>
    </r>
  </si>
  <si>
    <r>
      <rPr>
        <sz val="8"/>
        <rFont val="Calibri"/>
        <family val="1"/>
      </rPr>
      <t>Transfer from Special Economic Zone</t>
    </r>
  </si>
  <si>
    <r>
      <rPr>
        <sz val="8"/>
        <rFont val="Calibri"/>
        <family val="1"/>
      </rPr>
      <t>re-investment reserve</t>
    </r>
  </si>
  <si>
    <r>
      <rPr>
        <sz val="8"/>
        <rFont val="Calibri"/>
        <family val="1"/>
      </rPr>
      <t>Sale of shares to non-controlling interests</t>
    </r>
  </si>
  <si>
    <r>
      <rPr>
        <b/>
        <sz val="8"/>
        <rFont val="Calibri"/>
        <family val="1"/>
      </rPr>
      <t>Balance as at March 31, 2025</t>
    </r>
  </si>
  <si>
    <r>
      <rPr>
        <b/>
        <sz val="8"/>
        <rFont val="Calibri"/>
        <family val="1"/>
      </rPr>
      <t>Balance as at April 1, 2023</t>
    </r>
  </si>
  <si>
    <r>
      <rPr>
        <b/>
        <sz val="8"/>
        <rFont val="Calibri"/>
        <family val="1"/>
      </rPr>
      <t>365,90,51,373</t>
    </r>
  </si>
  <si>
    <r>
      <rPr>
        <sz val="8"/>
        <rFont val="Calibri"/>
        <family val="1"/>
      </rPr>
      <t>Buy-back of equity shares</t>
    </r>
  </si>
  <si>
    <r>
      <rPr>
        <sz val="8"/>
        <rFont val="Calibri"/>
        <family val="1"/>
      </rPr>
      <t>(409,63,855)</t>
    </r>
  </si>
  <si>
    <r>
      <rPr>
        <sz val="8"/>
        <rFont val="Calibri"/>
        <family val="1"/>
      </rPr>
      <t>Tax on buy-back of equity shares</t>
    </r>
  </si>
  <si>
    <r>
      <rPr>
        <sz val="8"/>
        <rFont val="Calibri"/>
        <family val="1"/>
      </rPr>
      <t>Expenses for buy-back of equity shares</t>
    </r>
  </si>
  <si>
    <r>
      <rPr>
        <sz val="8"/>
        <rFont val="Calibri"/>
        <family val="1"/>
      </rPr>
      <t>Transfer to Special Economic Zone</t>
    </r>
  </si>
  <si>
    <r>
      <rPr>
        <b/>
        <sz val="8"/>
        <rFont val="Calibri"/>
        <family val="1"/>
      </rPr>
      <t>Balance as at March 31, 2024</t>
    </r>
  </si>
  <si>
    <r>
      <rPr>
        <b/>
        <sz val="9.5"/>
        <rFont val="Calibri"/>
        <family val="1"/>
      </rPr>
      <t xml:space="preserve">Year ended
</t>
    </r>
    <r>
      <rPr>
        <b/>
        <sz val="9.5"/>
        <rFont val="Calibri"/>
        <family val="1"/>
      </rPr>
      <t xml:space="preserve">March 31,
</t>
    </r>
    <r>
      <rPr>
        <b/>
        <sz val="9.5"/>
        <rFont val="Calibri"/>
        <family val="1"/>
      </rPr>
      <t>2025</t>
    </r>
  </si>
  <si>
    <r>
      <rPr>
        <b/>
        <sz val="9.5"/>
        <rFont val="Calibri"/>
        <family val="1"/>
      </rPr>
      <t xml:space="preserve">Year ended
</t>
    </r>
    <r>
      <rPr>
        <b/>
        <sz val="9.5"/>
        <rFont val="Calibri"/>
        <family val="1"/>
      </rPr>
      <t xml:space="preserve">March 31,
</t>
    </r>
    <r>
      <rPr>
        <b/>
        <sz val="9.5"/>
        <rFont val="Calibri"/>
        <family val="1"/>
      </rPr>
      <t>2024</t>
    </r>
  </si>
  <si>
    <r>
      <rPr>
        <b/>
        <sz val="9.5"/>
        <rFont val="Calibri"/>
        <family val="1"/>
      </rPr>
      <t>Profit for the year</t>
    </r>
  </si>
  <si>
    <r>
      <rPr>
        <b/>
        <sz val="9.5"/>
        <rFont val="Calibri"/>
        <family val="1"/>
      </rPr>
      <t xml:space="preserve">Adjustments for:
</t>
    </r>
    <r>
      <rPr>
        <sz val="9.5"/>
        <rFont val="Calibri"/>
        <family val="1"/>
      </rPr>
      <t>Depreciation and amortisation expense</t>
    </r>
  </si>
  <si>
    <r>
      <rPr>
        <sz val="9.5"/>
        <rFont val="Calibri"/>
        <family val="1"/>
      </rPr>
      <t>Bad debts and advances written off, allowance for expected credit losses and</t>
    </r>
  </si>
  <si>
    <r>
      <rPr>
        <sz val="9.5"/>
        <rFont val="Calibri"/>
        <family val="1"/>
      </rPr>
      <t xml:space="preserve">doubtful advances (net)
</t>
    </r>
    <r>
      <rPr>
        <sz val="9.5"/>
        <rFont val="Calibri"/>
        <family val="1"/>
      </rPr>
      <t>Income tax expense</t>
    </r>
  </si>
  <si>
    <r>
      <rPr>
        <sz val="9.5"/>
        <rFont val="Calibri"/>
        <family val="1"/>
      </rPr>
      <t>Net gain on lease modification</t>
    </r>
  </si>
  <si>
    <r>
      <rPr>
        <sz val="9.5"/>
        <rFont val="Calibri"/>
        <family val="1"/>
      </rPr>
      <t>Unrealised foreign exchange gain</t>
    </r>
  </si>
  <si>
    <r>
      <rPr>
        <sz val="9.5"/>
        <rFont val="Calibri"/>
        <family val="1"/>
      </rPr>
      <t>Net gain on disposal of property, plant and equipment</t>
    </r>
  </si>
  <si>
    <r>
      <rPr>
        <sz val="9.5"/>
        <rFont val="Calibri"/>
        <family val="1"/>
      </rPr>
      <t>Net gain on disposal / fair valuation of investments</t>
    </r>
  </si>
  <si>
    <r>
      <rPr>
        <sz val="9.5"/>
        <rFont val="Calibri"/>
        <family val="1"/>
      </rPr>
      <t>Dividend reinvested</t>
    </r>
  </si>
  <si>
    <r>
      <rPr>
        <sz val="9.5"/>
        <rFont val="Calibri"/>
        <family val="1"/>
      </rPr>
      <t>Unbilled</t>
    </r>
  </si>
  <si>
    <r>
      <rPr>
        <sz val="9.5"/>
        <rFont val="Calibri"/>
        <family val="1"/>
      </rPr>
      <t>Other financial assets</t>
    </r>
  </si>
  <si>
    <r>
      <rPr>
        <sz val="9.5"/>
        <rFont val="Calibri"/>
        <family val="1"/>
      </rPr>
      <t>Other assets</t>
    </r>
  </si>
  <si>
    <r>
      <rPr>
        <sz val="9.5"/>
        <rFont val="Calibri"/>
        <family val="1"/>
      </rPr>
      <t>Trade payables</t>
    </r>
  </si>
  <si>
    <r>
      <rPr>
        <sz val="9.5"/>
        <rFont val="Calibri"/>
        <family val="1"/>
      </rPr>
      <t>Unearned and deferred revenue</t>
    </r>
  </si>
  <si>
    <r>
      <rPr>
        <sz val="9.5"/>
        <rFont val="Calibri"/>
        <family val="1"/>
      </rPr>
      <t>Other financial liabilities</t>
    </r>
  </si>
  <si>
    <r>
      <rPr>
        <sz val="9.5"/>
        <rFont val="Calibri"/>
        <family val="1"/>
      </rPr>
      <t>Other liabilities and provisions</t>
    </r>
  </si>
  <si>
    <r>
      <rPr>
        <b/>
        <sz val="9.5"/>
        <rFont val="Calibri"/>
        <family val="1"/>
      </rPr>
      <t>Cash flows generated from operations</t>
    </r>
  </si>
  <si>
    <r>
      <rPr>
        <sz val="9.5"/>
        <rFont val="Calibri"/>
        <family val="1"/>
      </rPr>
      <t>Taxes paid (net of refunds)</t>
    </r>
  </si>
  <si>
    <r>
      <rPr>
        <b/>
        <sz val="9.5"/>
        <rFont val="Calibri"/>
        <family val="1"/>
      </rPr>
      <t>Net cash flows generated from operating activities</t>
    </r>
  </si>
  <si>
    <r>
      <rPr>
        <b/>
        <sz val="9.5"/>
        <rFont val="Calibri"/>
        <family val="1"/>
      </rPr>
      <t>Cash flows from investing activities</t>
    </r>
  </si>
  <si>
    <r>
      <rPr>
        <sz val="9.5"/>
        <rFont val="Calibri"/>
        <family val="1"/>
      </rPr>
      <t>Bank deposits placed</t>
    </r>
  </si>
  <si>
    <r>
      <rPr>
        <sz val="9.5"/>
        <rFont val="Calibri"/>
        <family val="1"/>
      </rPr>
      <t>Purchase of investments*</t>
    </r>
  </si>
  <si>
    <r>
      <rPr>
        <sz val="9.5"/>
        <rFont val="Calibri"/>
        <family val="1"/>
      </rPr>
      <t>(1,45,962)</t>
    </r>
  </si>
  <si>
    <r>
      <rPr>
        <sz val="9.5"/>
        <rFont val="Calibri"/>
        <family val="1"/>
      </rPr>
      <t>(1,41,011)</t>
    </r>
  </si>
  <si>
    <r>
      <rPr>
        <sz val="9.5"/>
        <rFont val="Calibri"/>
        <family val="1"/>
      </rPr>
      <t>Payment for purchase of property, plant and equipment</t>
    </r>
  </si>
  <si>
    <r>
      <rPr>
        <sz val="9.5"/>
        <rFont val="Calibri"/>
        <family val="1"/>
      </rPr>
      <t>Payment including advances for acquiring right-of-use assets</t>
    </r>
  </si>
  <si>
    <r>
      <rPr>
        <sz val="9.5"/>
        <rFont val="Calibri"/>
        <family val="1"/>
      </rPr>
      <t>Payment for purchase of intangible assets</t>
    </r>
  </si>
  <si>
    <r>
      <rPr>
        <sz val="9.5"/>
        <rFont val="Calibri"/>
        <family val="1"/>
      </rPr>
      <t>Loan given</t>
    </r>
  </si>
  <si>
    <r>
      <rPr>
        <sz val="9.5"/>
        <rFont val="Calibri"/>
        <family val="1"/>
      </rPr>
      <t>-</t>
    </r>
  </si>
  <si>
    <r>
      <rPr>
        <sz val="9.5"/>
        <rFont val="Calibri"/>
        <family val="1"/>
      </rPr>
      <t>Acquisition of assets (Refer note 20)</t>
    </r>
  </si>
  <si>
    <r>
      <rPr>
        <sz val="9.5"/>
        <rFont val="Calibri"/>
        <family val="1"/>
      </rPr>
      <t>Proceeds from bank deposits</t>
    </r>
  </si>
  <si>
    <r>
      <rPr>
        <sz val="9.5"/>
        <rFont val="Calibri"/>
        <family val="1"/>
      </rPr>
      <t>Proceeds from inter-corporate deposits</t>
    </r>
  </si>
  <si>
    <r>
      <rPr>
        <sz val="9.5"/>
        <rFont val="Calibri"/>
        <family val="1"/>
      </rPr>
      <t>Proceeds from disposal / redemption of investments*</t>
    </r>
  </si>
  <si>
    <r>
      <rPr>
        <sz val="9.5"/>
        <rFont val="Calibri"/>
        <family val="1"/>
      </rPr>
      <t>1,47,433</t>
    </r>
  </si>
  <si>
    <r>
      <rPr>
        <sz val="9.5"/>
        <rFont val="Calibri"/>
        <family val="1"/>
      </rPr>
      <t>1,46,928</t>
    </r>
  </si>
  <si>
    <r>
      <rPr>
        <sz val="9.5"/>
        <rFont val="Calibri"/>
        <family val="1"/>
      </rPr>
      <t>Proceeds from sub-lease receivable</t>
    </r>
  </si>
  <si>
    <r>
      <rPr>
        <sz val="9.5"/>
        <rFont val="Calibri"/>
        <family val="1"/>
      </rPr>
      <t>Proceeds from disposal of property, plant and equipment</t>
    </r>
  </si>
  <si>
    <r>
      <rPr>
        <sz val="9.5"/>
        <rFont val="Calibri"/>
        <family val="1"/>
      </rPr>
      <t>Proceeds from disposal of intangible assets</t>
    </r>
  </si>
  <si>
    <r>
      <rPr>
        <sz val="9.5"/>
        <rFont val="Calibri"/>
        <family val="1"/>
      </rPr>
      <t>Loan recovered</t>
    </r>
  </si>
  <si>
    <r>
      <rPr>
        <b/>
        <sz val="9.5"/>
        <rFont val="Calibri"/>
        <family val="1"/>
      </rPr>
      <t>Net cash flows generated from / (used in) investing activities</t>
    </r>
  </si>
  <si>
    <r>
      <rPr>
        <sz val="9.5"/>
        <rFont val="Calibri"/>
        <family val="1"/>
      </rPr>
      <t>Dividend paid</t>
    </r>
  </si>
  <si>
    <r>
      <rPr>
        <sz val="9.5"/>
        <rFont val="Calibri"/>
        <family val="1"/>
      </rPr>
      <t>Dividend paid to non-controlling interests</t>
    </r>
  </si>
  <si>
    <r>
      <rPr>
        <sz val="9.5"/>
        <rFont val="Calibri"/>
        <family val="1"/>
      </rPr>
      <t>Transfer of funds to buy-back escrow account</t>
    </r>
  </si>
  <si>
    <r>
      <rPr>
        <sz val="9.5"/>
        <rFont val="Calibri"/>
        <family val="1"/>
      </rPr>
      <t>Transfer of funds from buy-back escrow account</t>
    </r>
  </si>
  <si>
    <r>
      <rPr>
        <sz val="9.5"/>
        <rFont val="Calibri"/>
        <family val="1"/>
      </rPr>
      <t>Expenses for buy-back of equity shares</t>
    </r>
  </si>
  <si>
    <r>
      <rPr>
        <sz val="9.5"/>
        <rFont val="Calibri"/>
        <family val="1"/>
      </rPr>
      <t>Tax on buy-back of equity shares</t>
    </r>
  </si>
  <si>
    <r>
      <rPr>
        <sz val="9.5"/>
        <rFont val="Calibri"/>
        <family val="1"/>
      </rPr>
      <t>Buy-back of equity shares</t>
    </r>
  </si>
  <si>
    <r>
      <rPr>
        <sz val="9.5"/>
        <rFont val="Calibri"/>
        <family val="1"/>
      </rPr>
      <t>Sale of shares to non-controlling interests</t>
    </r>
  </si>
  <si>
    <r>
      <rPr>
        <b/>
        <sz val="9.5"/>
        <rFont val="Calibri"/>
        <family val="1"/>
      </rPr>
      <t>Net cash flows used in financing activities</t>
    </r>
  </si>
  <si>
    <r>
      <rPr>
        <b/>
        <sz val="9.5"/>
        <rFont val="Calibri"/>
        <family val="1"/>
      </rPr>
      <t>Net change in cash and cash equivalents</t>
    </r>
  </si>
  <si>
    <r>
      <rPr>
        <sz val="9.5"/>
        <rFont val="Calibri"/>
        <family val="1"/>
      </rPr>
      <t>Cash and cash equivalents at the beginning of the year</t>
    </r>
  </si>
  <si>
    <r>
      <rPr>
        <sz val="9.5"/>
        <rFont val="Calibri"/>
        <family val="1"/>
      </rPr>
      <t>Exchange difference on translation of foreign currency cash and cash equivalents</t>
    </r>
  </si>
  <si>
    <r>
      <rPr>
        <b/>
        <sz val="9.5"/>
        <rFont val="Calibri"/>
        <family val="1"/>
      </rPr>
      <t>Cash and cash equivalents at the end of the year</t>
    </r>
  </si>
  <si>
    <r>
      <rPr>
        <b/>
        <u/>
        <sz val="9.5"/>
        <rFont val="Calibri"/>
        <family val="1"/>
      </rPr>
      <t xml:space="preserve">Components of cash and cash equivalents
</t>
    </r>
    <r>
      <rPr>
        <sz val="9.5"/>
        <rFont val="Calibri"/>
        <family val="1"/>
      </rPr>
      <t>Cash at banks and in hand</t>
    </r>
  </si>
  <si>
    <r>
      <rPr>
        <sz val="9.5"/>
        <rFont val="Calibri"/>
        <family val="1"/>
      </rPr>
      <t>Bank deposits (original maturity less than three months)</t>
    </r>
  </si>
  <si>
    <r>
      <rPr>
        <b/>
        <sz val="9.5"/>
        <rFont val="Calibri"/>
        <family val="1"/>
      </rPr>
      <t xml:space="preserve">Supplementary cash flow information
</t>
    </r>
    <r>
      <rPr>
        <sz val="9.5"/>
        <rFont val="Calibri"/>
        <family val="1"/>
      </rPr>
      <t>Interest paid</t>
    </r>
  </si>
  <si>
    <r>
      <rPr>
        <sz val="9.5"/>
        <rFont val="Calibri"/>
        <family val="1"/>
      </rPr>
      <t>Interest received</t>
    </r>
  </si>
  <si>
    <r>
      <rPr>
        <sz val="9.5"/>
        <rFont val="Calibri"/>
        <family val="1"/>
      </rPr>
      <t>Dividend received</t>
    </r>
  </si>
  <si>
    <t xml:space="preserve">Consolidated statement of profit or loss and other comprehensive income
</t>
  </si>
  <si>
    <t>Year ended March 31, 2025</t>
  </si>
  <si>
    <t>Share capital</t>
  </si>
  <si>
    <t>Retained earnings</t>
  </si>
  <si>
    <t>Special Economic Zone re-investment reserve</t>
  </si>
  <si>
    <t>Foreign currency translation reserve</t>
  </si>
  <si>
    <t>Intrinsic value</t>
  </si>
  <si>
    <t>Time value</t>
  </si>
  <si>
    <t>Investment revaluation reserve</t>
  </si>
  <si>
    <t>Equity attributable to shareholders of the Company</t>
  </si>
  <si>
    <t>Noncontrolling interests</t>
  </si>
  <si>
    <t>Total equity</t>
  </si>
  <si>
    <t>TATA CONSULTANCY SERVICES LIMITED Consolidated statement of changes in equity</t>
  </si>
  <si>
    <t xml:space="preserve"> Cash flow
hedging reserve</t>
  </si>
  <si>
    <t>Repayment of lease liabilities</t>
  </si>
  <si>
    <t>Cash flows from financing activities</t>
  </si>
  <si>
    <t>Cash flows from operating activities</t>
  </si>
  <si>
    <t>TOTAL EQUITY</t>
  </si>
  <si>
    <t>TOTAL LIABILITIES</t>
  </si>
  <si>
    <t>Total Non-current Liabilities</t>
  </si>
  <si>
    <t>Total Current Liabilities</t>
  </si>
  <si>
    <t>TOTAL ASSETS</t>
  </si>
  <si>
    <t>Total Non-current Assets</t>
  </si>
  <si>
    <t>Total Current Assets</t>
  </si>
  <si>
    <t>Other assets (Current)</t>
  </si>
  <si>
    <t>Income tax assets (Current)</t>
  </si>
  <si>
    <t>Other financial assets (Current)</t>
  </si>
  <si>
    <t>Trade receivables - Unbilled</t>
  </si>
  <si>
    <t>Trade receivables - Billed</t>
  </si>
  <si>
    <t>Investments (Current)</t>
  </si>
  <si>
    <t>Bank deposits (Current)</t>
  </si>
  <si>
    <t>Cash and cash equivalents</t>
  </si>
  <si>
    <t>2024</t>
  </si>
  <si>
    <t>2025</t>
  </si>
  <si>
    <t>Particulars</t>
  </si>
  <si>
    <t>BALANCE SHEET</t>
  </si>
  <si>
    <t>EPS</t>
  </si>
  <si>
    <t>Profit for the year</t>
  </si>
  <si>
    <t>Profit before tax</t>
  </si>
  <si>
    <t>Operating profit</t>
  </si>
  <si>
    <t>Gross profit</t>
  </si>
  <si>
    <t>Cost of revenue</t>
  </si>
  <si>
    <t>Revenue</t>
  </si>
  <si>
    <t>PROFIT AND LOSS</t>
  </si>
  <si>
    <t>Closing Cash</t>
  </si>
  <si>
    <t>Net Change in Cash</t>
  </si>
  <si>
    <t>Financing Cash Flow</t>
  </si>
  <si>
    <t>Investing Cash Flow</t>
  </si>
  <si>
    <t>Operating Cash Flow</t>
  </si>
  <si>
    <t>CASH FLOW STATEMENT</t>
  </si>
  <si>
    <t>Opening Equity</t>
  </si>
  <si>
    <t>Dividend</t>
  </si>
  <si>
    <t>Closing Equity</t>
  </si>
  <si>
    <t>EQUITY</t>
  </si>
  <si>
    <t>Ratio</t>
  </si>
  <si>
    <t>Formula</t>
  </si>
  <si>
    <t>Current Ratio</t>
  </si>
  <si>
    <t>Current Assets / Current Liabilities</t>
  </si>
  <si>
    <t>Quick Ratio</t>
  </si>
  <si>
    <t>(CA - Inventory)/CL</t>
  </si>
  <si>
    <t>Net Profit Margin</t>
  </si>
  <si>
    <t>Net Profit / Revenue</t>
  </si>
  <si>
    <t>Operating Margin</t>
  </si>
  <si>
    <t>Operating Profit / Revenue</t>
  </si>
  <si>
    <t>ROE</t>
  </si>
  <si>
    <t>Net Profit / Equity</t>
  </si>
  <si>
    <t>ROA</t>
  </si>
  <si>
    <t>Net Profit / Total Assets</t>
  </si>
  <si>
    <t>Debt to Equity</t>
  </si>
  <si>
    <t>Debt / Equity</t>
  </si>
  <si>
    <t>Asset Turnover</t>
  </si>
  <si>
    <t>Revenue / Total Assets</t>
  </si>
  <si>
    <t>change_pct</t>
  </si>
  <si>
    <t>&lt;-- TCS HAS NO INVENTORY</t>
  </si>
  <si>
    <t>Year ended March 31, 2024</t>
  </si>
  <si>
    <t>1,55,994</t>
  </si>
  <si>
    <t>1,43,595</t>
  </si>
  <si>
    <t>Operating expenses</t>
  </si>
  <si>
    <t>Selling, general and administrative expenses</t>
  </si>
  <si>
    <t>Settlement of legal claim</t>
  </si>
  <si>
    <t>-</t>
  </si>
  <si>
    <t>Others</t>
  </si>
  <si>
    <t>Total Selling, general and administrative expenses</t>
  </si>
  <si>
    <t>Other income</t>
  </si>
  <si>
    <t>Finance and other income</t>
  </si>
  <si>
    <t>Finance costs</t>
  </si>
  <si>
    <t>Other gains (net)</t>
  </si>
  <si>
    <t>Other income (net)</t>
  </si>
  <si>
    <t>Profit before taxes</t>
  </si>
  <si>
    <t>Income tax expense</t>
  </si>
  <si>
    <t>Other comprehensive income (OCI)</t>
  </si>
  <si>
    <t>Items that will not be reclassified subsequently to profit or loss</t>
  </si>
  <si>
    <t>Remeasurement of defined employee benefit plans</t>
  </si>
  <si>
    <t>Net change in fair value of investments in equity shares</t>
  </si>
  <si>
    <t>Items that will be reclassified subsequently to profit or loss</t>
  </si>
  <si>
    <t>Net change in fair value of investments other than equity shares carried at</t>
  </si>
  <si>
    <t>fair value through OCI</t>
  </si>
  <si>
    <t>Net change in intrinsic value of derivatives designated as</t>
  </si>
  <si>
    <t>cash flow hedges</t>
  </si>
  <si>
    <t>Net change in time value of derivatives designated as</t>
  </si>
  <si>
    <t>Exchange differences on translation of foreign operations</t>
  </si>
  <si>
    <t>Total other comprehensive income / (losses), net of tax</t>
  </si>
  <si>
    <t>Total comprehensive income for the year</t>
  </si>
  <si>
    <t>Profit for the year attributable to:</t>
  </si>
  <si>
    <t>Shareholders of the Company</t>
  </si>
  <si>
    <t>Non-controlling interests</t>
  </si>
  <si>
    <t>Other comprehensive income for the year attributable to:</t>
  </si>
  <si>
    <t>Total comprehensive income for the year attributable to:</t>
  </si>
  <si>
    <t>Earnings per share</t>
  </si>
  <si>
    <t>Weighted average number of equity shares</t>
  </si>
  <si>
    <t>361,80,87,518</t>
  </si>
  <si>
    <t>364,68,51,755</t>
  </si>
  <si>
    <r>
      <rPr>
        <sz val="10"/>
        <rFont val="Times New Roman"/>
        <family val="1"/>
      </rPr>
      <t>Basic and diluted earnings per share in  `</t>
    </r>
  </si>
  <si>
    <t>Operating profit before working capital changes Net change in Trade receivables</t>
  </si>
  <si>
    <t>Billed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</si>
</sst>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);\(0\)"/>
    <numFmt numFmtId="165" formatCode="#,##0_);\(#,##0\)"/>
  </numFmts>
  <fonts count="27">
    <font>
      <sz val="10"/>
      <color rgb="FF000000"/>
      <name val="Times New Roman"/>
      <charset val="204"/>
    </font>
    <font>
      <b/>
      <sz val="8.5"/>
      <name val="Calibri"/>
      <family val="2"/>
    </font>
    <font>
      <sz val="8.5"/>
      <name val="Calibri"/>
      <family val="2"/>
    </font>
    <font>
      <sz val="8.5"/>
      <color rgb="FF000000"/>
      <name val="Calibri"/>
      <family val="2"/>
    </font>
    <font>
      <b/>
      <sz val="8.5"/>
      <color rgb="FF000000"/>
      <name val="Calibri"/>
      <family val="2"/>
    </font>
    <font>
      <b/>
      <sz val="8"/>
      <name val="Calibri"/>
      <family val="2"/>
    </font>
    <font>
      <b/>
      <sz val="8"/>
      <color rgb="FF000000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b/>
      <sz val="9.5"/>
      <name val="Calibri"/>
      <family val="2"/>
    </font>
    <font>
      <sz val="9.5"/>
      <color rgb="FF000000"/>
      <name val="Calibri"/>
      <family val="2"/>
    </font>
    <font>
      <sz val="9.5"/>
      <name val="Calibri"/>
      <family val="2"/>
    </font>
    <font>
      <b/>
      <sz val="9.5"/>
      <color rgb="FF000000"/>
      <name val="Calibri"/>
      <family val="2"/>
    </font>
    <font>
      <b/>
      <sz val="8.5"/>
      <name val="Calibri"/>
      <family val="1"/>
    </font>
    <font>
      <sz val="8.5"/>
      <name val="Calibri"/>
      <family val="1"/>
    </font>
    <font>
      <b/>
      <sz val="8"/>
      <name val="Calibri"/>
      <family val="1"/>
    </font>
    <font>
      <sz val="8"/>
      <name val="Calibri"/>
      <family val="1"/>
    </font>
    <font>
      <b/>
      <sz val="9.5"/>
      <name val="Calibri"/>
      <family val="1"/>
    </font>
    <font>
      <sz val="9.5"/>
      <name val="Calibri"/>
      <family val="1"/>
    </font>
    <font>
      <b/>
      <u/>
      <sz val="9.5"/>
      <name val="Calibri"/>
      <family val="1"/>
    </font>
    <font>
      <sz val="10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sz val="11"/>
      <color rgb="FF000000"/>
      <name val="Aptos Narrow"/>
      <family val="2"/>
    </font>
    <font>
      <sz val="11"/>
      <color rgb="FF000000"/>
      <name val="Aptos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25"/>
    </xf>
    <xf numFmtId="0" fontId="1" fillId="0" borderId="0" xfId="0" applyFont="1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center" wrapText="1" indent="2"/>
    </xf>
    <xf numFmtId="0" fontId="0" fillId="0" borderId="0" xfId="0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top" wrapText="1" indent="2"/>
    </xf>
    <xf numFmtId="3" fontId="3" fillId="0" borderId="0" xfId="0" applyNumberFormat="1" applyFont="1" applyFill="1" applyBorder="1" applyAlignment="1">
      <alignment horizontal="left" vertical="top" indent="8" shrinkToFit="1"/>
    </xf>
    <xf numFmtId="3" fontId="3" fillId="0" borderId="0" xfId="0" applyNumberFormat="1" applyFont="1" applyFill="1" applyBorder="1" applyAlignment="1">
      <alignment horizontal="right" vertical="top" shrinkToFit="1"/>
    </xf>
    <xf numFmtId="3" fontId="3" fillId="0" borderId="0" xfId="0" applyNumberFormat="1" applyFont="1" applyFill="1" applyBorder="1" applyAlignment="1">
      <alignment horizontal="left" vertical="top" indent="7" shrinkToFit="1"/>
    </xf>
    <xf numFmtId="0" fontId="2" fillId="0" borderId="0" xfId="0" applyFont="1" applyFill="1" applyBorder="1" applyAlignment="1">
      <alignment horizontal="left" vertical="top" wrapText="1" indent="3"/>
    </xf>
    <xf numFmtId="1" fontId="3" fillId="0" borderId="0" xfId="0" applyNumberFormat="1" applyFont="1" applyFill="1" applyBorder="1" applyAlignment="1">
      <alignment horizontal="left" vertical="top" indent="9" shrinkToFit="1"/>
    </xf>
    <xf numFmtId="1" fontId="3" fillId="0" borderId="0" xfId="0" applyNumberFormat="1" applyFont="1" applyFill="1" applyBorder="1" applyAlignment="1">
      <alignment horizontal="right" vertical="top" shrinkToFit="1"/>
    </xf>
    <xf numFmtId="3" fontId="3" fillId="0" borderId="2" xfId="0" applyNumberFormat="1" applyFont="1" applyFill="1" applyBorder="1" applyAlignment="1">
      <alignment horizontal="left" vertical="top" indent="7" shrinkToFit="1"/>
    </xf>
    <xf numFmtId="3" fontId="3" fillId="0" borderId="2" xfId="0" applyNumberFormat="1" applyFont="1" applyFill="1" applyBorder="1" applyAlignment="1">
      <alignment horizontal="right" vertical="top" shrinkToFit="1"/>
    </xf>
    <xf numFmtId="0" fontId="1" fillId="0" borderId="1" xfId="0" applyFont="1" applyFill="1" applyBorder="1" applyAlignment="1">
      <alignment horizontal="left" vertical="top" wrapText="1" indent="6"/>
    </xf>
    <xf numFmtId="0" fontId="1" fillId="0" borderId="1" xfId="0" applyFont="1" applyFill="1" applyBorder="1" applyAlignment="1">
      <alignment horizontal="right" vertical="top" wrapText="1"/>
    </xf>
    <xf numFmtId="1" fontId="3" fillId="0" borderId="0" xfId="0" applyNumberFormat="1" applyFont="1" applyFill="1" applyBorder="1" applyAlignment="1">
      <alignment horizontal="right" vertical="top" indent="3" shrinkToFit="1"/>
    </xf>
    <xf numFmtId="3" fontId="3" fillId="0" borderId="2" xfId="0" applyNumberFormat="1" applyFont="1" applyFill="1" applyBorder="1" applyAlignment="1">
      <alignment horizontal="left" vertical="top" indent="8" shrinkToFit="1"/>
    </xf>
    <xf numFmtId="3" fontId="4" fillId="0" borderId="3" xfId="0" applyNumberFormat="1" applyFont="1" applyFill="1" applyBorder="1" applyAlignment="1">
      <alignment horizontal="left" vertical="top" indent="7" shrinkToFit="1"/>
    </xf>
    <xf numFmtId="3" fontId="4" fillId="0" borderId="3" xfId="0" applyNumberFormat="1" applyFont="1" applyFill="1" applyBorder="1" applyAlignment="1">
      <alignment horizontal="right" vertical="top" shrinkToFit="1"/>
    </xf>
    <xf numFmtId="0" fontId="1" fillId="0" borderId="3" xfId="0" applyFont="1" applyFill="1" applyBorder="1" applyAlignment="1">
      <alignment horizontal="left" vertical="top" wrapText="1" indent="6"/>
    </xf>
    <xf numFmtId="0" fontId="1" fillId="0" borderId="3" xfId="0" applyFont="1" applyFill="1" applyBorder="1" applyAlignment="1">
      <alignment horizontal="right" vertical="top" wrapText="1"/>
    </xf>
    <xf numFmtId="0" fontId="0" fillId="0" borderId="1" xfId="0" applyFill="1" applyBorder="1" applyAlignment="1">
      <alignment horizontal="left" wrapText="1"/>
    </xf>
    <xf numFmtId="3" fontId="4" fillId="0" borderId="1" xfId="0" applyNumberFormat="1" applyFont="1" applyFill="1" applyBorder="1" applyAlignment="1">
      <alignment horizontal="left" vertical="top" indent="7" shrinkToFit="1"/>
    </xf>
    <xf numFmtId="3" fontId="4" fillId="0" borderId="1" xfId="0" applyNumberFormat="1" applyFont="1" applyFill="1" applyBorder="1" applyAlignment="1">
      <alignment horizontal="right" vertical="top" shrinkToFit="1"/>
    </xf>
    <xf numFmtId="1" fontId="3" fillId="0" borderId="2" xfId="0" applyNumberFormat="1" applyFont="1" applyFill="1" applyBorder="1" applyAlignment="1">
      <alignment horizontal="left" vertical="top" indent="9" shrinkToFit="1"/>
    </xf>
    <xf numFmtId="1" fontId="3" fillId="0" borderId="2" xfId="0" applyNumberFormat="1" applyFont="1" applyFill="1" applyBorder="1" applyAlignment="1">
      <alignment horizontal="right" vertical="top" shrinkToFit="1"/>
    </xf>
    <xf numFmtId="3" fontId="3" fillId="0" borderId="1" xfId="0" applyNumberFormat="1" applyFont="1" applyFill="1" applyBorder="1" applyAlignment="1">
      <alignment horizontal="left" vertical="top" indent="8" shrinkToFit="1"/>
    </xf>
    <xf numFmtId="1" fontId="3" fillId="0" borderId="1" xfId="0" applyNumberFormat="1" applyFont="1" applyFill="1" applyBorder="1" applyAlignment="1">
      <alignment horizontal="right" vertical="top" shrinkToFit="1"/>
    </xf>
    <xf numFmtId="3" fontId="4" fillId="0" borderId="2" xfId="0" applyNumberFormat="1" applyFont="1" applyFill="1" applyBorder="1" applyAlignment="1">
      <alignment horizontal="left" vertical="top" indent="7" shrinkToFit="1"/>
    </xf>
    <xf numFmtId="3" fontId="4" fillId="0" borderId="2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3"/>
    </xf>
    <xf numFmtId="0" fontId="9" fillId="0" borderId="0" xfId="0" applyFont="1" applyFill="1" applyBorder="1" applyAlignment="1">
      <alignment horizontal="left" vertical="center" wrapText="1" indent="3"/>
    </xf>
    <xf numFmtId="0" fontId="0" fillId="0" borderId="1" xfId="0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top" wrapText="1" indent="3"/>
    </xf>
    <xf numFmtId="0" fontId="11" fillId="0" borderId="0" xfId="0" applyFont="1" applyFill="1" applyBorder="1" applyAlignment="1">
      <alignment horizontal="left" vertical="top" wrapText="1" indent="3"/>
    </xf>
    <xf numFmtId="0" fontId="11" fillId="0" borderId="0" xfId="0" applyFont="1" applyFill="1" applyBorder="1" applyAlignment="1">
      <alignment horizontal="left" vertical="top" wrapText="1" indent="4"/>
    </xf>
    <xf numFmtId="0" fontId="20" fillId="0" borderId="0" xfId="0" applyFont="1" applyFill="1" applyBorder="1" applyAlignment="1">
      <alignment horizontal="left" vertical="top"/>
    </xf>
    <xf numFmtId="0" fontId="18" fillId="0" borderId="0" xfId="0" applyFont="1" applyFill="1" applyBorder="1" applyAlignment="1">
      <alignment horizontal="left" vertical="top" wrapText="1" indent="3"/>
    </xf>
    <xf numFmtId="0" fontId="0" fillId="0" borderId="0" xfId="0"/>
    <xf numFmtId="0" fontId="22" fillId="0" borderId="0" xfId="0" applyFont="1" applyFill="1" applyBorder="1" applyAlignment="1"/>
    <xf numFmtId="2" fontId="23" fillId="0" borderId="0" xfId="0" applyNumberFormat="1" applyFont="1" applyFill="1" applyBorder="1" applyAlignment="1"/>
    <xf numFmtId="2" fontId="22" fillId="0" borderId="0" xfId="0" applyNumberFormat="1" applyFont="1" applyFill="1" applyBorder="1" applyAlignment="1"/>
    <xf numFmtId="0" fontId="22" fillId="2" borderId="0" xfId="0" applyFont="1" applyFill="1" applyBorder="1" applyAlignment="1"/>
    <xf numFmtId="0" fontId="24" fillId="0" borderId="0" xfId="0" applyFont="1" applyFill="1" applyBorder="1" applyAlignment="1">
      <alignment horizontal="left" vertical="top"/>
    </xf>
    <xf numFmtId="0" fontId="21" fillId="0" borderId="0" xfId="0" applyFont="1" applyFill="1" applyBorder="1" applyAlignment="1">
      <alignment horizontal="center" vertical="top"/>
    </xf>
    <xf numFmtId="0" fontId="25" fillId="0" borderId="0" xfId="0" applyFont="1" applyFill="1" applyBorder="1" applyAlignment="1">
      <alignment horizontal="left" vertical="top" wrapText="1" indent="14"/>
    </xf>
    <xf numFmtId="0" fontId="25" fillId="0" borderId="0" xfId="0" applyFont="1" applyFill="1" applyBorder="1" applyAlignment="1">
      <alignment horizontal="left" vertical="top" wrapText="1" indent="1"/>
    </xf>
    <xf numFmtId="0" fontId="25" fillId="0" borderId="0" xfId="0" applyFont="1" applyFill="1" applyBorder="1" applyAlignment="1">
      <alignment horizontal="left" vertical="top" wrapText="1" indent="2"/>
    </xf>
    <xf numFmtId="0" fontId="20" fillId="0" borderId="1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left" wrapText="1"/>
    </xf>
    <xf numFmtId="0" fontId="26" fillId="0" borderId="0" xfId="0" applyFont="1" applyFill="1" applyBorder="1" applyAlignment="1">
      <alignment horizontal="left" vertical="top" wrapText="1" indent="2"/>
    </xf>
    <xf numFmtId="0" fontId="26" fillId="0" borderId="0" xfId="0" applyFont="1" applyFill="1" applyBorder="1" applyAlignment="1">
      <alignment horizontal="left" vertical="top" wrapText="1" indent="3"/>
    </xf>
    <xf numFmtId="0" fontId="25" fillId="0" borderId="0" xfId="0" applyFont="1" applyFill="1" applyBorder="1" applyAlignment="1">
      <alignment horizontal="left" vertical="top" wrapText="1" indent="3"/>
    </xf>
    <xf numFmtId="0" fontId="20" fillId="0" borderId="0" xfId="0" applyFont="1" applyFill="1" applyBorder="1" applyAlignment="1">
      <alignment horizontal="left" vertical="top" wrapText="1" indent="3"/>
    </xf>
    <xf numFmtId="0" fontId="25" fillId="0" borderId="0" xfId="0" applyFont="1" applyFill="1" applyBorder="1" applyAlignment="1">
      <alignment horizontal="left" vertical="top" wrapText="1"/>
    </xf>
    <xf numFmtId="3" fontId="26" fillId="0" borderId="0" xfId="0" applyNumberFormat="1" applyFont="1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left" vertical="top" wrapText="1"/>
    </xf>
    <xf numFmtId="3" fontId="24" fillId="0" borderId="0" xfId="0" applyNumberFormat="1" applyFont="1" applyFill="1" applyBorder="1" applyAlignment="1">
      <alignment horizontal="left" vertical="top" shrinkToFit="1"/>
    </xf>
    <xf numFmtId="1" fontId="20" fillId="0" borderId="0" xfId="0" applyNumberFormat="1" applyFont="1" applyFill="1" applyBorder="1" applyAlignment="1">
      <alignment horizontal="left" vertical="top" shrinkToFit="1"/>
    </xf>
    <xf numFmtId="3" fontId="20" fillId="0" borderId="0" xfId="0" applyNumberFormat="1" applyFont="1" applyFill="1" applyBorder="1" applyAlignment="1">
      <alignment horizontal="left" vertical="top" shrinkToFit="1"/>
    </xf>
    <xf numFmtId="164" fontId="20" fillId="0" borderId="0" xfId="0" applyNumberFormat="1" applyFont="1" applyFill="1" applyBorder="1" applyAlignment="1">
      <alignment horizontal="left" vertical="top" shrinkToFit="1"/>
    </xf>
    <xf numFmtId="1" fontId="24" fillId="0" borderId="0" xfId="0" applyNumberFormat="1" applyFont="1" applyFill="1" applyBorder="1" applyAlignment="1">
      <alignment horizontal="left" vertical="top" shrinkToFit="1"/>
    </xf>
    <xf numFmtId="2" fontId="20" fillId="0" borderId="0" xfId="0" applyNumberFormat="1" applyFont="1" applyFill="1" applyBorder="1" applyAlignment="1">
      <alignment horizontal="left" vertical="top" shrinkToFit="1"/>
    </xf>
    <xf numFmtId="0" fontId="26" fillId="0" borderId="2" xfId="0" applyFont="1" applyFill="1" applyBorder="1" applyAlignment="1">
      <alignment horizontal="left" vertical="top" wrapText="1"/>
    </xf>
    <xf numFmtId="3" fontId="24" fillId="0" borderId="3" xfId="0" applyNumberFormat="1" applyFont="1" applyFill="1" applyBorder="1" applyAlignment="1">
      <alignment horizontal="left" vertical="top" shrinkToFit="1"/>
    </xf>
    <xf numFmtId="3" fontId="20" fillId="0" borderId="2" xfId="0" applyNumberFormat="1" applyFont="1" applyFill="1" applyBorder="1" applyAlignment="1">
      <alignment horizontal="left" vertical="top" shrinkToFit="1"/>
    </xf>
    <xf numFmtId="1" fontId="20" fillId="0" borderId="2" xfId="0" applyNumberFormat="1" applyFont="1" applyFill="1" applyBorder="1" applyAlignment="1">
      <alignment horizontal="left" vertical="top" shrinkToFit="1"/>
    </xf>
    <xf numFmtId="3" fontId="24" fillId="0" borderId="1" xfId="0" applyNumberFormat="1" applyFont="1" applyFill="1" applyBorder="1" applyAlignment="1">
      <alignment horizontal="left" vertical="top" shrinkToFit="1"/>
    </xf>
    <xf numFmtId="1" fontId="24" fillId="0" borderId="3" xfId="0" applyNumberFormat="1" applyFont="1" applyFill="1" applyBorder="1" applyAlignment="1">
      <alignment horizontal="left" vertical="top" shrinkToFit="1"/>
    </xf>
    <xf numFmtId="0" fontId="24" fillId="0" borderId="4" xfId="0" applyFont="1" applyFill="1" applyBorder="1" applyAlignment="1">
      <alignment horizontal="center" vertical="top"/>
    </xf>
    <xf numFmtId="0" fontId="24" fillId="0" borderId="4" xfId="0" applyFont="1" applyFill="1" applyBorder="1" applyAlignment="1">
      <alignment horizontal="left" vertical="top"/>
    </xf>
    <xf numFmtId="0" fontId="24" fillId="0" borderId="4" xfId="0" applyFont="1" applyFill="1" applyBorder="1" applyAlignment="1">
      <alignment horizontal="left" vertical="top" wrapText="1"/>
    </xf>
    <xf numFmtId="0" fontId="24" fillId="0" borderId="4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right" vertical="top" wrapText="1" indent="1"/>
    </xf>
    <xf numFmtId="1" fontId="6" fillId="0" borderId="4" xfId="0" applyNumberFormat="1" applyFont="1" applyFill="1" applyBorder="1" applyAlignment="1">
      <alignment horizontal="right" vertical="top" indent="1" shrinkToFit="1"/>
    </xf>
    <xf numFmtId="3" fontId="6" fillId="0" borderId="4" xfId="0" applyNumberFormat="1" applyFont="1" applyFill="1" applyBorder="1" applyAlignment="1">
      <alignment horizontal="right" vertical="top" indent="3" shrinkToFit="1"/>
    </xf>
    <xf numFmtId="3" fontId="6" fillId="0" borderId="4" xfId="0" applyNumberFormat="1" applyFont="1" applyFill="1" applyBorder="1" applyAlignment="1">
      <alignment horizontal="right" vertical="top" indent="1" shrinkToFit="1"/>
    </xf>
    <xf numFmtId="3" fontId="6" fillId="0" borderId="4" xfId="0" applyNumberFormat="1" applyFont="1" applyFill="1" applyBorder="1" applyAlignment="1">
      <alignment horizontal="right" vertical="top" indent="2" shrinkToFit="1"/>
    </xf>
    <xf numFmtId="164" fontId="6" fillId="0" borderId="4" xfId="0" applyNumberFormat="1" applyFont="1" applyFill="1" applyBorder="1" applyAlignment="1">
      <alignment horizontal="right" vertical="top" indent="3" shrinkToFit="1"/>
    </xf>
    <xf numFmtId="1" fontId="6" fillId="0" borderId="4" xfId="0" applyNumberFormat="1" applyFont="1" applyFill="1" applyBorder="1" applyAlignment="1">
      <alignment horizontal="right" vertical="top" indent="2" shrinkToFit="1"/>
    </xf>
    <xf numFmtId="1" fontId="6" fillId="0" borderId="4" xfId="0" applyNumberFormat="1" applyFont="1" applyFill="1" applyBorder="1" applyAlignment="1">
      <alignment horizontal="right" vertical="top" shrinkToFit="1"/>
    </xf>
    <xf numFmtId="3" fontId="6" fillId="0" borderId="4" xfId="0" applyNumberFormat="1" applyFont="1" applyFill="1" applyBorder="1" applyAlignment="1">
      <alignment horizontal="right" vertical="top" shrinkToFit="1"/>
    </xf>
    <xf numFmtId="0" fontId="7" fillId="0" borderId="4" xfId="0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horizontal="right" vertical="top" wrapText="1" indent="1"/>
    </xf>
    <xf numFmtId="3" fontId="8" fillId="0" borderId="4" xfId="0" applyNumberFormat="1" applyFont="1" applyFill="1" applyBorder="1" applyAlignment="1">
      <alignment horizontal="right" vertical="top" indent="3" shrinkToFit="1"/>
    </xf>
    <xf numFmtId="0" fontId="7" fillId="0" borderId="4" xfId="0" applyFont="1" applyFill="1" applyBorder="1" applyAlignment="1">
      <alignment horizontal="right" vertical="top" wrapText="1" indent="2"/>
    </xf>
    <xf numFmtId="0" fontId="7" fillId="0" borderId="4" xfId="0" applyFont="1" applyFill="1" applyBorder="1" applyAlignment="1">
      <alignment horizontal="right" vertical="top" wrapText="1" indent="3"/>
    </xf>
    <xf numFmtId="3" fontId="8" fillId="0" borderId="4" xfId="0" applyNumberFormat="1" applyFont="1" applyFill="1" applyBorder="1" applyAlignment="1">
      <alignment horizontal="right" vertical="top" indent="1" shrinkToFit="1"/>
    </xf>
    <xf numFmtId="1" fontId="8" fillId="0" borderId="4" xfId="0" applyNumberFormat="1" applyFont="1" applyFill="1" applyBorder="1" applyAlignment="1">
      <alignment horizontal="right" vertical="top" shrinkToFit="1"/>
    </xf>
    <xf numFmtId="3" fontId="8" fillId="0" borderId="4" xfId="0" applyNumberFormat="1" applyFont="1" applyFill="1" applyBorder="1" applyAlignment="1">
      <alignment horizontal="right" vertical="top" shrinkToFit="1"/>
    </xf>
    <xf numFmtId="164" fontId="8" fillId="0" borderId="4" xfId="0" applyNumberFormat="1" applyFont="1" applyFill="1" applyBorder="1" applyAlignment="1">
      <alignment horizontal="right" vertical="top" indent="3" shrinkToFit="1"/>
    </xf>
    <xf numFmtId="1" fontId="8" fillId="0" borderId="4" xfId="0" applyNumberFormat="1" applyFont="1" applyFill="1" applyBorder="1" applyAlignment="1">
      <alignment horizontal="right" vertical="top" indent="2" shrinkToFit="1"/>
    </xf>
    <xf numFmtId="1" fontId="8" fillId="0" borderId="4" xfId="0" applyNumberFormat="1" applyFont="1" applyFill="1" applyBorder="1" applyAlignment="1">
      <alignment horizontal="right" vertical="top" indent="1" shrinkToFit="1"/>
    </xf>
    <xf numFmtId="165" fontId="8" fillId="0" borderId="4" xfId="0" applyNumberFormat="1" applyFont="1" applyFill="1" applyBorder="1" applyAlignment="1">
      <alignment horizontal="right" vertical="top" indent="3" shrinkToFit="1"/>
    </xf>
    <xf numFmtId="165" fontId="8" fillId="0" borderId="4" xfId="0" applyNumberFormat="1" applyFont="1" applyFill="1" applyBorder="1" applyAlignment="1">
      <alignment horizontal="right" vertical="top" indent="1" shrinkToFit="1"/>
    </xf>
    <xf numFmtId="164" fontId="8" fillId="0" borderId="4" xfId="0" applyNumberFormat="1" applyFont="1" applyFill="1" applyBorder="1" applyAlignment="1">
      <alignment horizontal="right" vertical="top" shrinkToFit="1"/>
    </xf>
    <xf numFmtId="165" fontId="8" fillId="0" borderId="4" xfId="0" applyNumberFormat="1" applyFont="1" applyFill="1" applyBorder="1" applyAlignment="1">
      <alignment horizontal="right" vertical="top" shrinkToFit="1"/>
    </xf>
    <xf numFmtId="0" fontId="7" fillId="0" borderId="4" xfId="0" applyFont="1" applyFill="1" applyBorder="1" applyAlignment="1">
      <alignment horizontal="right" vertical="top" wrapText="1"/>
    </xf>
    <xf numFmtId="0" fontId="0" fillId="0" borderId="4" xfId="0" applyFill="1" applyBorder="1" applyAlignment="1">
      <alignment horizontal="left" wrapText="1"/>
    </xf>
    <xf numFmtId="1" fontId="8" fillId="0" borderId="4" xfId="0" applyNumberFormat="1" applyFont="1" applyFill="1" applyBorder="1" applyAlignment="1">
      <alignment horizontal="right" vertical="top" indent="3" shrinkToFit="1"/>
    </xf>
    <xf numFmtId="1" fontId="6" fillId="0" borderId="4" xfId="0" applyNumberFormat="1" applyFont="1" applyFill="1" applyBorder="1" applyAlignment="1">
      <alignment horizontal="right" vertical="top" indent="3" shrinkToFit="1"/>
    </xf>
    <xf numFmtId="164" fontId="8" fillId="0" borderId="4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left" vertical="top" wrapText="1"/>
    </xf>
    <xf numFmtId="3" fontId="10" fillId="0" borderId="0" xfId="0" applyNumberFormat="1" applyFont="1" applyFill="1" applyBorder="1" applyAlignment="1">
      <alignment horizontal="left" vertical="top" shrinkToFit="1"/>
    </xf>
    <xf numFmtId="3" fontId="10" fillId="0" borderId="0" xfId="0" applyNumberFormat="1" applyFont="1" applyFill="1" applyBorder="1" applyAlignment="1">
      <alignment horizontal="left" vertical="center" shrinkToFit="1"/>
    </xf>
    <xf numFmtId="1" fontId="10" fillId="0" borderId="0" xfId="0" applyNumberFormat="1" applyFont="1" applyFill="1" applyBorder="1" applyAlignment="1">
      <alignment horizontal="left" vertical="top" shrinkToFit="1"/>
    </xf>
    <xf numFmtId="164" fontId="10" fillId="0" borderId="0" xfId="0" applyNumberFormat="1" applyFont="1" applyFill="1" applyBorder="1" applyAlignment="1">
      <alignment horizontal="left" vertical="top" shrinkToFit="1"/>
    </xf>
    <xf numFmtId="164" fontId="10" fillId="0" borderId="2" xfId="0" applyNumberFormat="1" applyFont="1" applyFill="1" applyBorder="1" applyAlignment="1">
      <alignment horizontal="left" vertical="top" shrinkToFit="1"/>
    </xf>
    <xf numFmtId="165" fontId="10" fillId="0" borderId="0" xfId="0" applyNumberFormat="1" applyFont="1" applyFill="1" applyBorder="1" applyAlignment="1">
      <alignment horizontal="left" vertical="top" shrinkToFit="1"/>
    </xf>
    <xf numFmtId="3" fontId="10" fillId="0" borderId="2" xfId="0" applyNumberFormat="1" applyFont="1" applyFill="1" applyBorder="1" applyAlignment="1">
      <alignment horizontal="left" vertical="top" shrinkToFit="1"/>
    </xf>
    <xf numFmtId="3" fontId="12" fillId="0" borderId="1" xfId="0" applyNumberFormat="1" applyFont="1" applyFill="1" applyBorder="1" applyAlignment="1">
      <alignment horizontal="left" vertical="top" shrinkToFit="1"/>
    </xf>
    <xf numFmtId="165" fontId="10" fillId="0" borderId="2" xfId="0" applyNumberFormat="1" applyFont="1" applyFill="1" applyBorder="1" applyAlignment="1">
      <alignment horizontal="left" vertical="top" shrinkToFit="1"/>
    </xf>
    <xf numFmtId="3" fontId="12" fillId="0" borderId="3" xfId="0" applyNumberFormat="1" applyFont="1" applyFill="1" applyBorder="1" applyAlignment="1">
      <alignment horizontal="left" vertical="top" shrinkToFit="1"/>
    </xf>
    <xf numFmtId="0" fontId="11" fillId="0" borderId="0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 wrapText="1"/>
    </xf>
    <xf numFmtId="165" fontId="10" fillId="0" borderId="1" xfId="0" applyNumberFormat="1" applyFont="1" applyFill="1" applyBorder="1" applyAlignment="1">
      <alignment horizontal="left" vertical="center" shrinkToFit="1"/>
    </xf>
    <xf numFmtId="165" fontId="12" fillId="0" borderId="3" xfId="0" applyNumberFormat="1" applyFont="1" applyFill="1" applyBorder="1" applyAlignment="1">
      <alignment horizontal="left" vertical="top" shrinkToFit="1"/>
    </xf>
    <xf numFmtId="1" fontId="10" fillId="0" borderId="2" xfId="0" applyNumberFormat="1" applyFont="1" applyFill="1" applyBorder="1" applyAlignment="1">
      <alignment horizontal="left" vertical="top" shrinkToFit="1"/>
    </xf>
    <xf numFmtId="3" fontId="10" fillId="0" borderId="1" xfId="0" applyNumberFormat="1" applyFont="1" applyFill="1" applyBorder="1" applyAlignment="1">
      <alignment horizontal="left" vertical="center" shrinkToFit="1"/>
    </xf>
    <xf numFmtId="1" fontId="10" fillId="0" borderId="1" xfId="0" applyNumberFormat="1" applyFont="1" applyFill="1" applyBorder="1" applyAlignment="1">
      <alignment horizontal="left" vertical="center" shrinkToFit="1"/>
    </xf>
    <xf numFmtId="0" fontId="0" fillId="0" borderId="1" xfId="0" applyFill="1" applyBorder="1" applyAlignment="1">
      <alignment horizontal="left" vertical="top" wrapText="1"/>
    </xf>
    <xf numFmtId="165" fontId="12" fillId="0" borderId="1" xfId="0" applyNumberFormat="1" applyFont="1" applyFill="1" applyBorder="1" applyAlignment="1">
      <alignment horizontal="left" vertical="top" shrinkToFit="1"/>
    </xf>
    <xf numFmtId="164" fontId="12" fillId="0" borderId="1" xfId="0" applyNumberFormat="1" applyFont="1" applyFill="1" applyBorder="1" applyAlignment="1">
      <alignment horizontal="left" vertical="top" shrinkToFit="1"/>
    </xf>
    <xf numFmtId="3" fontId="18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127413</xdr:colOff>
      <xdr:row>45</xdr:row>
      <xdr:rowOff>148192</xdr:rowOff>
    </xdr:from>
    <xdr:ext cx="4470400" cy="171450"/>
    <xdr:sp macro="" textlink="">
      <xdr:nvSpPr>
        <xdr:cNvPr id="17" name="Shape 17"/>
        <xdr:cNvSpPr/>
      </xdr:nvSpPr>
      <xdr:spPr>
        <a:xfrm>
          <a:off x="0" y="0"/>
          <a:ext cx="4470400" cy="171450"/>
        </a:xfrm>
        <a:custGeom>
          <a:avLst/>
          <a:gdLst/>
          <a:ahLst/>
          <a:cxnLst/>
          <a:rect l="0" t="0" r="0" b="0"/>
          <a:pathLst>
            <a:path w="4470400" h="171450">
              <a:moveTo>
                <a:pt x="4469809" y="0"/>
              </a:moveTo>
              <a:lnTo>
                <a:pt x="0" y="0"/>
              </a:lnTo>
              <a:lnTo>
                <a:pt x="0" y="171147"/>
              </a:lnTo>
              <a:lnTo>
                <a:pt x="4469809" y="171147"/>
              </a:lnTo>
              <a:lnTo>
                <a:pt x="4469809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workbookViewId="0">
      <selection activeCell="C1" sqref="C1"/>
    </sheetView>
  </sheetViews>
  <sheetFormatPr defaultRowHeight="13"/>
  <cols>
    <col min="1" max="1" width="84.19921875" customWidth="1"/>
    <col min="2" max="2" width="19.59765625" customWidth="1"/>
    <col min="3" max="3" width="21.296875" customWidth="1"/>
  </cols>
  <sheetData>
    <row r="1" spans="1:3" ht="32.75" customHeight="1">
      <c r="A1" s="1" t="s">
        <v>0</v>
      </c>
      <c r="B1" s="2" t="s">
        <v>1</v>
      </c>
      <c r="C1" s="3" t="s">
        <v>2</v>
      </c>
    </row>
    <row r="2" spans="1:3">
      <c r="A2" s="4" t="s">
        <v>3</v>
      </c>
    </row>
    <row r="3" spans="1:3">
      <c r="A3" s="3" t="s">
        <v>4</v>
      </c>
    </row>
    <row r="4" spans="1:3">
      <c r="A4" s="6" t="s">
        <v>5</v>
      </c>
      <c r="B4" s="7">
        <v>8342</v>
      </c>
      <c r="C4" s="8">
        <v>9016</v>
      </c>
    </row>
    <row r="5" spans="1:3">
      <c r="A5" s="6" t="s">
        <v>6</v>
      </c>
      <c r="B5" s="7">
        <v>6215</v>
      </c>
      <c r="C5" s="8">
        <v>3799</v>
      </c>
    </row>
    <row r="6" spans="1:3">
      <c r="A6" s="6" t="s">
        <v>7</v>
      </c>
      <c r="B6" s="9">
        <v>30689</v>
      </c>
      <c r="C6" s="8">
        <v>31481</v>
      </c>
    </row>
    <row r="7" spans="1:3">
      <c r="A7" s="6" t="s">
        <v>8</v>
      </c>
      <c r="B7" s="5"/>
      <c r="C7" s="5"/>
    </row>
    <row r="8" spans="1:3">
      <c r="A8" s="10" t="s">
        <v>9</v>
      </c>
      <c r="B8" s="9">
        <v>50142</v>
      </c>
      <c r="C8" s="8">
        <v>44434</v>
      </c>
    </row>
    <row r="9" spans="1:3">
      <c r="A9" s="10" t="s">
        <v>10</v>
      </c>
      <c r="B9" s="7">
        <v>8904</v>
      </c>
      <c r="C9" s="8">
        <v>9143</v>
      </c>
    </row>
    <row r="10" spans="1:3">
      <c r="A10" s="6" t="s">
        <v>11</v>
      </c>
      <c r="B10" s="7">
        <v>3657</v>
      </c>
      <c r="C10" s="8">
        <v>2665</v>
      </c>
    </row>
    <row r="11" spans="1:3">
      <c r="A11" s="6" t="s">
        <v>12</v>
      </c>
      <c r="B11" s="11">
        <v>257</v>
      </c>
      <c r="C11" s="12">
        <v>151</v>
      </c>
    </row>
    <row r="12" spans="1:3">
      <c r="A12" s="6" t="s">
        <v>13</v>
      </c>
      <c r="B12" s="13">
        <v>14805</v>
      </c>
      <c r="C12" s="14">
        <v>12295</v>
      </c>
    </row>
    <row r="13" spans="1:3">
      <c r="A13" s="3" t="s">
        <v>14</v>
      </c>
      <c r="B13" s="15" t="s">
        <v>15</v>
      </c>
      <c r="C13" s="16" t="s">
        <v>16</v>
      </c>
    </row>
    <row r="14" spans="1:3">
      <c r="A14" s="3" t="s">
        <v>17</v>
      </c>
      <c r="B14" s="5"/>
      <c r="C14" s="5"/>
    </row>
    <row r="15" spans="1:3">
      <c r="A15" s="6" t="s">
        <v>6</v>
      </c>
      <c r="B15" s="7">
        <v>1709</v>
      </c>
      <c r="C15" s="8">
        <v>2248</v>
      </c>
    </row>
    <row r="16" spans="1:3">
      <c r="A16" s="6" t="s">
        <v>7</v>
      </c>
      <c r="B16" s="11">
        <v>275</v>
      </c>
      <c r="C16" s="12">
        <v>281</v>
      </c>
    </row>
    <row r="17" spans="1:3">
      <c r="A17" s="6" t="s">
        <v>8</v>
      </c>
      <c r="B17" s="5"/>
      <c r="C17" s="5"/>
    </row>
    <row r="18" spans="1:3">
      <c r="A18" s="10" t="s">
        <v>9</v>
      </c>
      <c r="B18" s="17">
        <v>91</v>
      </c>
      <c r="C18" s="12">
        <v>127</v>
      </c>
    </row>
    <row r="19" spans="1:3">
      <c r="A19" s="10" t="s">
        <v>10</v>
      </c>
      <c r="B19" s="17">
        <v>38</v>
      </c>
      <c r="C19" s="12">
        <v>16</v>
      </c>
    </row>
    <row r="20" spans="1:3">
      <c r="A20" s="6" t="s">
        <v>11</v>
      </c>
      <c r="B20" s="7">
        <v>1047</v>
      </c>
      <c r="C20" s="8">
        <v>1026</v>
      </c>
    </row>
    <row r="21" spans="1:3">
      <c r="A21" s="6" t="s">
        <v>12</v>
      </c>
      <c r="B21" s="7">
        <v>1569</v>
      </c>
      <c r="C21" s="8">
        <v>1600</v>
      </c>
    </row>
    <row r="22" spans="1:3">
      <c r="A22" s="6" t="s">
        <v>18</v>
      </c>
      <c r="B22" s="7">
        <v>3540</v>
      </c>
      <c r="C22" s="8">
        <v>3369</v>
      </c>
    </row>
    <row r="23" spans="1:3">
      <c r="A23" s="6" t="s">
        <v>19</v>
      </c>
      <c r="B23" s="9">
        <v>12932</v>
      </c>
      <c r="C23" s="8">
        <v>11224</v>
      </c>
    </row>
    <row r="24" spans="1:3">
      <c r="A24" s="6" t="s">
        <v>20</v>
      </c>
      <c r="B24" s="7">
        <v>9275</v>
      </c>
      <c r="C24" s="8">
        <v>7886</v>
      </c>
    </row>
    <row r="25" spans="1:3">
      <c r="A25" s="6" t="s">
        <v>21</v>
      </c>
      <c r="B25" s="7">
        <v>4024</v>
      </c>
      <c r="C25" s="8">
        <v>3989</v>
      </c>
    </row>
    <row r="26" spans="1:3">
      <c r="A26" s="6" t="s">
        <v>22</v>
      </c>
      <c r="B26" s="11">
        <v>940</v>
      </c>
      <c r="C26" s="12">
        <v>510</v>
      </c>
    </row>
    <row r="27" spans="1:3">
      <c r="A27" s="6" t="s">
        <v>13</v>
      </c>
      <c r="B27" s="18">
        <v>3304</v>
      </c>
      <c r="C27" s="14">
        <v>3312</v>
      </c>
    </row>
    <row r="28" spans="1:3">
      <c r="A28" s="3" t="s">
        <v>23</v>
      </c>
      <c r="B28" s="19">
        <v>38744</v>
      </c>
      <c r="C28" s="20">
        <v>35588</v>
      </c>
    </row>
    <row r="29" spans="1:3">
      <c r="A29" s="3" t="s">
        <v>24</v>
      </c>
      <c r="B29" s="21" t="s">
        <v>25</v>
      </c>
      <c r="C29" s="22" t="s">
        <v>26</v>
      </c>
    </row>
    <row r="30" spans="1:3">
      <c r="A30" s="3" t="s">
        <v>27</v>
      </c>
      <c r="B30" s="23"/>
      <c r="C30" s="23"/>
    </row>
    <row r="31" spans="1:3">
      <c r="A31" s="3" t="s">
        <v>28</v>
      </c>
      <c r="B31" s="5"/>
      <c r="C31" s="5"/>
    </row>
    <row r="32" spans="1:3">
      <c r="A32" s="3" t="s">
        <v>29</v>
      </c>
      <c r="B32" s="5"/>
      <c r="C32" s="5"/>
    </row>
    <row r="33" spans="1:3">
      <c r="A33" s="6" t="s">
        <v>30</v>
      </c>
      <c r="B33" s="7">
        <v>1554</v>
      </c>
      <c r="C33" s="8">
        <v>1505</v>
      </c>
    </row>
    <row r="34" spans="1:3">
      <c r="A34" s="6" t="s">
        <v>31</v>
      </c>
      <c r="B34" s="9">
        <v>13909</v>
      </c>
      <c r="C34" s="8">
        <v>9981</v>
      </c>
    </row>
    <row r="35" spans="1:3">
      <c r="A35" s="6" t="s">
        <v>32</v>
      </c>
      <c r="B35" s="7">
        <v>8542</v>
      </c>
      <c r="C35" s="8">
        <v>8362</v>
      </c>
    </row>
    <row r="36" spans="1:3">
      <c r="A36" s="6" t="s">
        <v>33</v>
      </c>
      <c r="B36" s="7">
        <v>4028</v>
      </c>
      <c r="C36" s="8">
        <v>3640</v>
      </c>
    </row>
    <row r="37" spans="1:3">
      <c r="A37" s="6" t="s">
        <v>34</v>
      </c>
      <c r="B37" s="7">
        <v>7188</v>
      </c>
      <c r="C37" s="8">
        <v>6524</v>
      </c>
    </row>
    <row r="38" spans="1:3">
      <c r="A38" s="6" t="s">
        <v>35</v>
      </c>
      <c r="B38" s="11">
        <v>180</v>
      </c>
      <c r="C38" s="12">
        <v>140</v>
      </c>
    </row>
    <row r="39" spans="1:3">
      <c r="A39" s="6" t="s">
        <v>36</v>
      </c>
      <c r="B39" s="7">
        <v>4885</v>
      </c>
      <c r="C39" s="8">
        <v>4519</v>
      </c>
    </row>
    <row r="40" spans="1:3">
      <c r="A40" s="6" t="s">
        <v>37</v>
      </c>
      <c r="B40" s="13">
        <v>12715</v>
      </c>
      <c r="C40" s="14">
        <v>11433</v>
      </c>
    </row>
    <row r="41" spans="1:3">
      <c r="A41" s="3" t="s">
        <v>38</v>
      </c>
      <c r="B41" s="24">
        <v>53001</v>
      </c>
      <c r="C41" s="25">
        <v>46104</v>
      </c>
    </row>
    <row r="42" spans="1:3">
      <c r="A42" s="3" t="s">
        <v>39</v>
      </c>
      <c r="B42" s="5"/>
      <c r="C42" s="5"/>
    </row>
    <row r="43" spans="1:3">
      <c r="A43" s="6" t="s">
        <v>30</v>
      </c>
      <c r="B43" s="7">
        <v>7838</v>
      </c>
      <c r="C43" s="8">
        <v>6516</v>
      </c>
    </row>
    <row r="44" spans="1:3">
      <c r="A44" s="6" t="s">
        <v>32</v>
      </c>
      <c r="B44" s="11">
        <v>680</v>
      </c>
      <c r="C44" s="12">
        <v>365</v>
      </c>
    </row>
    <row r="45" spans="1:3">
      <c r="A45" s="6" t="s">
        <v>36</v>
      </c>
      <c r="B45" s="11">
        <v>841</v>
      </c>
      <c r="C45" s="12">
        <v>686</v>
      </c>
    </row>
    <row r="46" spans="1:3">
      <c r="A46" s="6" t="s">
        <v>40</v>
      </c>
      <c r="B46" s="11">
        <v>980</v>
      </c>
      <c r="C46" s="12">
        <v>977</v>
      </c>
    </row>
    <row r="47" spans="1:3">
      <c r="A47" s="6" t="s">
        <v>33</v>
      </c>
      <c r="B47" s="26">
        <v>518</v>
      </c>
      <c r="C47" s="27">
        <v>482</v>
      </c>
    </row>
    <row r="48" spans="1:3">
      <c r="A48" s="3" t="s">
        <v>41</v>
      </c>
      <c r="B48" s="19">
        <v>10857</v>
      </c>
      <c r="C48" s="20">
        <v>9026</v>
      </c>
    </row>
    <row r="49" spans="1:3">
      <c r="A49" s="3" t="s">
        <v>42</v>
      </c>
      <c r="B49" s="19">
        <v>63858</v>
      </c>
      <c r="C49" s="20">
        <v>55130</v>
      </c>
    </row>
    <row r="50" spans="1:3">
      <c r="A50" s="3" t="s">
        <v>43</v>
      </c>
      <c r="B50" s="23"/>
      <c r="C50" s="23"/>
    </row>
    <row r="51" spans="1:3">
      <c r="A51" s="6" t="s">
        <v>44</v>
      </c>
      <c r="B51" s="11">
        <v>362</v>
      </c>
      <c r="C51" s="12">
        <v>362</v>
      </c>
    </row>
    <row r="52" spans="1:3">
      <c r="A52" s="6" t="s">
        <v>45</v>
      </c>
      <c r="B52" s="9">
        <v>91683</v>
      </c>
      <c r="C52" s="8">
        <v>72926</v>
      </c>
    </row>
    <row r="53" spans="1:3">
      <c r="A53" s="6" t="s">
        <v>46</v>
      </c>
      <c r="B53" s="18">
        <v>4837</v>
      </c>
      <c r="C53" s="14">
        <v>19324</v>
      </c>
    </row>
    <row r="54" spans="1:3">
      <c r="A54" s="3" t="s">
        <v>47</v>
      </c>
      <c r="B54" s="19">
        <v>96882</v>
      </c>
      <c r="C54" s="20">
        <v>92612</v>
      </c>
    </row>
    <row r="55" spans="1:3">
      <c r="A55" s="6" t="s">
        <v>48</v>
      </c>
      <c r="B55" s="28">
        <v>1015</v>
      </c>
      <c r="C55" s="29">
        <v>830</v>
      </c>
    </row>
    <row r="56" spans="1:3">
      <c r="A56" s="3" t="s">
        <v>49</v>
      </c>
      <c r="B56" s="30">
        <v>97897</v>
      </c>
      <c r="C56" s="31">
        <v>93442</v>
      </c>
    </row>
    <row r="57" spans="1:3">
      <c r="A57" s="3" t="s">
        <v>50</v>
      </c>
      <c r="B57" s="21" t="s">
        <v>25</v>
      </c>
      <c r="C57" s="2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abSelected="1" workbookViewId="0">
      <selection activeCell="G10" sqref="G10"/>
    </sheetView>
  </sheetViews>
  <sheetFormatPr defaultRowHeight="13"/>
  <cols>
    <col min="1" max="1" width="84.69921875" style="38" bestFit="1" customWidth="1"/>
    <col min="2" max="3" width="24.296875" style="38" bestFit="1" customWidth="1"/>
  </cols>
  <sheetData>
    <row r="1" spans="1:3" ht="26">
      <c r="A1" s="47" t="s">
        <v>131</v>
      </c>
      <c r="B1" s="45" t="s">
        <v>132</v>
      </c>
      <c r="C1" s="56" t="s">
        <v>205</v>
      </c>
    </row>
    <row r="2" spans="1:3" ht="15" customHeight="1">
      <c r="A2" s="49" t="s">
        <v>173</v>
      </c>
      <c r="B2" s="57">
        <v>255324</v>
      </c>
      <c r="C2" s="57">
        <v>240893</v>
      </c>
    </row>
    <row r="3" spans="1:3" ht="15" customHeight="1">
      <c r="A3" s="49" t="s">
        <v>172</v>
      </c>
      <c r="B3" s="65" t="s">
        <v>206</v>
      </c>
      <c r="C3" s="58" t="s">
        <v>207</v>
      </c>
    </row>
    <row r="4" spans="1:3" ht="15" customHeight="1">
      <c r="A4" s="49" t="s">
        <v>171</v>
      </c>
      <c r="B4" s="66">
        <f>B2-B3</f>
        <v>99330</v>
      </c>
      <c r="C4" s="59">
        <f>C2-C3</f>
        <v>97298</v>
      </c>
    </row>
    <row r="5" spans="1:3" ht="15" customHeight="1">
      <c r="A5" s="49" t="s">
        <v>208</v>
      </c>
      <c r="B5" s="50"/>
      <c r="C5" s="51"/>
    </row>
    <row r="6" spans="1:3" ht="15" customHeight="1">
      <c r="A6" s="49" t="s">
        <v>209</v>
      </c>
      <c r="B6" s="51"/>
      <c r="C6" s="51"/>
    </row>
    <row r="7" spans="1:3" ht="15" customHeight="1">
      <c r="A7" s="52" t="s">
        <v>210</v>
      </c>
      <c r="B7" s="58" t="s">
        <v>211</v>
      </c>
      <c r="C7" s="60">
        <v>958</v>
      </c>
    </row>
    <row r="8" spans="1:3" ht="15" customHeight="1">
      <c r="A8" s="52" t="s">
        <v>212</v>
      </c>
      <c r="B8" s="67">
        <v>37165</v>
      </c>
      <c r="C8" s="61">
        <v>37987</v>
      </c>
    </row>
    <row r="9" spans="1:3" ht="15" customHeight="1">
      <c r="A9" s="49" t="s">
        <v>213</v>
      </c>
      <c r="B9" s="66">
        <v>37165</v>
      </c>
      <c r="C9" s="59">
        <v>38945</v>
      </c>
    </row>
    <row r="10" spans="1:3" ht="15" customHeight="1">
      <c r="A10" s="49" t="s">
        <v>170</v>
      </c>
      <c r="B10" s="66">
        <v>62165</v>
      </c>
      <c r="C10" s="59">
        <v>58353</v>
      </c>
    </row>
    <row r="11" spans="1:3" ht="15" customHeight="1">
      <c r="A11" s="49" t="s">
        <v>214</v>
      </c>
      <c r="B11" s="50"/>
      <c r="C11" s="51"/>
    </row>
    <row r="12" spans="1:3" ht="15" customHeight="1">
      <c r="A12" s="53" t="s">
        <v>215</v>
      </c>
      <c r="B12" s="61">
        <v>3343</v>
      </c>
      <c r="C12" s="61">
        <v>3822</v>
      </c>
    </row>
    <row r="13" spans="1:3" ht="15" customHeight="1">
      <c r="A13" s="53" t="s">
        <v>216</v>
      </c>
      <c r="B13" s="62">
        <v>-796</v>
      </c>
      <c r="C13" s="62">
        <v>-778</v>
      </c>
    </row>
    <row r="14" spans="1:3" ht="15" customHeight="1">
      <c r="A14" s="53" t="s">
        <v>217</v>
      </c>
      <c r="B14" s="68">
        <v>619</v>
      </c>
      <c r="C14" s="60">
        <v>600</v>
      </c>
    </row>
    <row r="15" spans="1:3" ht="15" customHeight="1">
      <c r="A15" s="48" t="s">
        <v>218</v>
      </c>
      <c r="B15" s="66">
        <f>SUM(B12:B14)</f>
        <v>3166</v>
      </c>
      <c r="C15" s="59">
        <f>SUM(C12:C14)</f>
        <v>3644</v>
      </c>
    </row>
    <row r="16" spans="1:3" ht="15" customHeight="1">
      <c r="A16" s="49" t="s">
        <v>219</v>
      </c>
      <c r="B16" s="69">
        <f>B10+B15</f>
        <v>65331</v>
      </c>
      <c r="C16" s="59">
        <f>C10+C15</f>
        <v>61997</v>
      </c>
    </row>
    <row r="17" spans="1:3" ht="15" customHeight="1">
      <c r="A17" s="53" t="s">
        <v>220</v>
      </c>
      <c r="B17" s="67">
        <v>16534</v>
      </c>
      <c r="C17" s="61">
        <v>15898</v>
      </c>
    </row>
    <row r="18" spans="1:3" ht="15" customHeight="1">
      <c r="A18" s="49" t="s">
        <v>168</v>
      </c>
      <c r="B18" s="66">
        <f>B16-B17</f>
        <v>48797</v>
      </c>
      <c r="C18" s="59">
        <f>C16-C17</f>
        <v>46099</v>
      </c>
    </row>
    <row r="19" spans="1:3" ht="15" customHeight="1">
      <c r="A19" s="49" t="s">
        <v>221</v>
      </c>
      <c r="B19" s="50"/>
      <c r="C19" s="51"/>
    </row>
    <row r="20" spans="1:3" ht="15" customHeight="1">
      <c r="A20" s="54" t="s">
        <v>222</v>
      </c>
      <c r="B20" s="51"/>
      <c r="C20" s="51"/>
    </row>
    <row r="21" spans="1:3" ht="15" customHeight="1">
      <c r="A21" s="53" t="s">
        <v>223</v>
      </c>
      <c r="B21" s="62">
        <v>-88</v>
      </c>
      <c r="C21" s="62">
        <v>-13</v>
      </c>
    </row>
    <row r="22" spans="1:3" ht="15" customHeight="1">
      <c r="A22" s="53" t="s">
        <v>224</v>
      </c>
      <c r="B22" s="62">
        <v>-24</v>
      </c>
      <c r="C22" s="62">
        <v>-6</v>
      </c>
    </row>
    <row r="23" spans="1:3" ht="15" customHeight="1">
      <c r="A23" s="54" t="s">
        <v>225</v>
      </c>
      <c r="B23" s="51"/>
      <c r="C23" s="51"/>
    </row>
    <row r="24" spans="1:3" ht="15" customHeight="1">
      <c r="A24" s="53" t="s">
        <v>226</v>
      </c>
      <c r="B24" s="60">
        <v>444</v>
      </c>
      <c r="C24" s="60">
        <v>200</v>
      </c>
    </row>
    <row r="25" spans="1:3" ht="15" customHeight="1">
      <c r="A25" s="53" t="s">
        <v>227</v>
      </c>
      <c r="B25" s="51"/>
      <c r="C25" s="51"/>
    </row>
    <row r="26" spans="1:3" ht="15" customHeight="1">
      <c r="A26" s="53" t="s">
        <v>228</v>
      </c>
      <c r="B26" s="58" t="s">
        <v>211</v>
      </c>
      <c r="C26" s="60">
        <v>1</v>
      </c>
    </row>
    <row r="27" spans="1:3" ht="15" customHeight="1">
      <c r="A27" s="53" t="s">
        <v>229</v>
      </c>
      <c r="B27" s="51"/>
      <c r="C27" s="51"/>
    </row>
    <row r="28" spans="1:3" ht="15" customHeight="1">
      <c r="A28" s="53" t="s">
        <v>230</v>
      </c>
      <c r="B28" s="62">
        <v>-6</v>
      </c>
      <c r="C28" s="60">
        <v>10</v>
      </c>
    </row>
    <row r="29" spans="1:3" ht="15" customHeight="1">
      <c r="A29" s="53" t="s">
        <v>229</v>
      </c>
      <c r="B29" s="51"/>
      <c r="C29" s="51"/>
    </row>
    <row r="30" spans="1:3" ht="15" customHeight="1">
      <c r="A30" s="53" t="s">
        <v>231</v>
      </c>
      <c r="B30" s="68">
        <v>266</v>
      </c>
      <c r="C30" s="60">
        <v>50</v>
      </c>
    </row>
    <row r="31" spans="1:3" ht="15" customHeight="1">
      <c r="A31" s="49" t="s">
        <v>232</v>
      </c>
      <c r="B31" s="70">
        <v>592</v>
      </c>
      <c r="C31" s="63">
        <v>242</v>
      </c>
    </row>
    <row r="32" spans="1:3" ht="15" customHeight="1">
      <c r="A32" s="49" t="s">
        <v>233</v>
      </c>
      <c r="B32" s="66">
        <v>49389</v>
      </c>
      <c r="C32" s="59">
        <v>46341</v>
      </c>
    </row>
    <row r="33" spans="1:3" ht="15" customHeight="1">
      <c r="A33" s="49" t="s">
        <v>234</v>
      </c>
      <c r="B33" s="50"/>
      <c r="C33" s="51"/>
    </row>
    <row r="34" spans="1:3" ht="15" customHeight="1">
      <c r="A34" s="53" t="s">
        <v>235</v>
      </c>
      <c r="B34" s="61">
        <v>48553</v>
      </c>
      <c r="C34" s="61">
        <v>45908</v>
      </c>
    </row>
    <row r="35" spans="1:3" ht="15" customHeight="1">
      <c r="A35" s="53" t="s">
        <v>236</v>
      </c>
      <c r="B35" s="68">
        <v>244</v>
      </c>
      <c r="C35" s="60">
        <v>191</v>
      </c>
    </row>
    <row r="36" spans="1:3" ht="15" customHeight="1">
      <c r="A36" s="51"/>
      <c r="B36" s="66">
        <v>48797</v>
      </c>
      <c r="C36" s="59">
        <v>46099</v>
      </c>
    </row>
    <row r="37" spans="1:3" ht="15" customHeight="1">
      <c r="A37" s="49" t="s">
        <v>237</v>
      </c>
      <c r="B37" s="50"/>
      <c r="C37" s="51"/>
    </row>
    <row r="38" spans="1:3" ht="15" customHeight="1">
      <c r="A38" s="53" t="s">
        <v>235</v>
      </c>
      <c r="B38" s="60">
        <v>574</v>
      </c>
      <c r="C38" s="60">
        <v>304</v>
      </c>
    </row>
    <row r="39" spans="1:3" ht="15" customHeight="1">
      <c r="A39" s="53" t="s">
        <v>236</v>
      </c>
      <c r="B39" s="68">
        <v>18</v>
      </c>
      <c r="C39" s="62">
        <v>-62</v>
      </c>
    </row>
    <row r="40" spans="1:3" ht="15" customHeight="1">
      <c r="A40" s="51"/>
      <c r="B40" s="70">
        <v>592</v>
      </c>
      <c r="C40" s="63">
        <v>242</v>
      </c>
    </row>
    <row r="41" spans="1:3" ht="15" customHeight="1">
      <c r="A41" s="49" t="s">
        <v>238</v>
      </c>
      <c r="B41" s="50"/>
      <c r="C41" s="51"/>
    </row>
    <row r="42" spans="1:3" ht="15" customHeight="1">
      <c r="A42" s="53" t="s">
        <v>235</v>
      </c>
      <c r="B42" s="61">
        <v>49127</v>
      </c>
      <c r="C42" s="61">
        <v>46212</v>
      </c>
    </row>
    <row r="43" spans="1:3" ht="15" customHeight="1">
      <c r="A43" s="53" t="s">
        <v>236</v>
      </c>
      <c r="B43" s="68">
        <v>262</v>
      </c>
      <c r="C43" s="60">
        <v>129</v>
      </c>
    </row>
    <row r="44" spans="1:3" ht="15" customHeight="1">
      <c r="A44" s="51"/>
      <c r="B44" s="66">
        <v>49389</v>
      </c>
      <c r="C44" s="59">
        <v>46341</v>
      </c>
    </row>
    <row r="45" spans="1:3" ht="15" customHeight="1">
      <c r="A45" s="49" t="s">
        <v>239</v>
      </c>
      <c r="B45" s="50"/>
      <c r="C45" s="51"/>
    </row>
    <row r="46" spans="1:3" ht="15" customHeight="1">
      <c r="A46" s="53" t="s">
        <v>240</v>
      </c>
      <c r="B46" s="58" t="s">
        <v>241</v>
      </c>
      <c r="C46" s="58" t="s">
        <v>242</v>
      </c>
    </row>
    <row r="47" spans="1:3" ht="15" customHeight="1">
      <c r="A47" s="55" t="s">
        <v>243</v>
      </c>
      <c r="B47" s="64">
        <v>134.19</v>
      </c>
      <c r="C47" s="64">
        <v>125.88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E13" sqref="E13"/>
    </sheetView>
  </sheetViews>
  <sheetFormatPr defaultRowHeight="13"/>
  <cols>
    <col min="1" max="1" width="28.19921875" bestFit="1" customWidth="1"/>
    <col min="2" max="2" width="7.3984375" customWidth="1"/>
    <col min="3" max="3" width="7.5" customWidth="1"/>
    <col min="4" max="4" width="11" customWidth="1"/>
    <col min="5" max="5" width="20.19921875" customWidth="1"/>
    <col min="6" max="6" width="17.296875" customWidth="1"/>
    <col min="7" max="7" width="12.796875" bestFit="1" customWidth="1"/>
    <col min="8" max="8" width="10.19921875" bestFit="1" customWidth="1"/>
    <col min="9" max="9" width="18.3984375" customWidth="1"/>
    <col min="10" max="10" width="26" customWidth="1"/>
    <col min="11" max="11" width="13.5" customWidth="1"/>
    <col min="12" max="12" width="6.8984375" customWidth="1"/>
  </cols>
  <sheetData>
    <row r="1" spans="1:12">
      <c r="A1" s="71" t="s">
        <v>143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33.5" customHeight="1">
      <c r="A2" s="72"/>
      <c r="B2" s="73" t="s">
        <v>142</v>
      </c>
      <c r="C2" s="73" t="s">
        <v>133</v>
      </c>
      <c r="D2" s="73" t="s">
        <v>134</v>
      </c>
      <c r="E2" s="73" t="s">
        <v>135</v>
      </c>
      <c r="F2" s="73" t="s">
        <v>136</v>
      </c>
      <c r="G2" s="74" t="s">
        <v>144</v>
      </c>
      <c r="H2" s="74"/>
      <c r="I2" s="73" t="s">
        <v>139</v>
      </c>
      <c r="J2" s="73" t="s">
        <v>140</v>
      </c>
      <c r="K2" s="73" t="s">
        <v>141</v>
      </c>
      <c r="L2" s="73" t="s">
        <v>142</v>
      </c>
    </row>
    <row r="3" spans="1:12" ht="34.5" customHeight="1">
      <c r="A3" s="72"/>
      <c r="B3" s="72"/>
      <c r="C3" s="72"/>
      <c r="D3" s="72"/>
      <c r="E3" s="72"/>
      <c r="F3" s="72"/>
      <c r="G3" s="72" t="s">
        <v>137</v>
      </c>
      <c r="H3" s="72" t="s">
        <v>138</v>
      </c>
      <c r="I3" s="72"/>
      <c r="J3" s="72"/>
      <c r="K3" s="72"/>
      <c r="L3" s="72"/>
    </row>
    <row r="4" spans="1:12" ht="12" customHeight="1">
      <c r="A4" s="75" t="s">
        <v>51</v>
      </c>
      <c r="B4" s="76" t="s">
        <v>52</v>
      </c>
      <c r="C4" s="77">
        <v>362</v>
      </c>
      <c r="D4" s="78">
        <v>72926</v>
      </c>
      <c r="E4" s="79">
        <v>16234</v>
      </c>
      <c r="F4" s="80">
        <v>2864</v>
      </c>
      <c r="G4" s="77">
        <v>9</v>
      </c>
      <c r="H4" s="81">
        <v>-18</v>
      </c>
      <c r="I4" s="82">
        <v>235</v>
      </c>
      <c r="J4" s="79">
        <v>92612</v>
      </c>
      <c r="K4" s="83">
        <v>830</v>
      </c>
      <c r="L4" s="84">
        <v>93442</v>
      </c>
    </row>
    <row r="5" spans="1:12" ht="12" customHeight="1">
      <c r="A5" s="85" t="s">
        <v>53</v>
      </c>
      <c r="B5" s="86" t="s">
        <v>54</v>
      </c>
      <c r="C5" s="86" t="s">
        <v>54</v>
      </c>
      <c r="D5" s="87">
        <v>48553</v>
      </c>
      <c r="E5" s="86" t="s">
        <v>54</v>
      </c>
      <c r="F5" s="88" t="s">
        <v>54</v>
      </c>
      <c r="G5" s="86" t="s">
        <v>54</v>
      </c>
      <c r="H5" s="89" t="s">
        <v>54</v>
      </c>
      <c r="I5" s="88" t="s">
        <v>54</v>
      </c>
      <c r="J5" s="90">
        <v>48553</v>
      </c>
      <c r="K5" s="91">
        <v>244</v>
      </c>
      <c r="L5" s="92">
        <v>48797</v>
      </c>
    </row>
    <row r="6" spans="1:12" ht="12" customHeight="1">
      <c r="A6" s="85" t="s">
        <v>55</v>
      </c>
      <c r="B6" s="86" t="s">
        <v>54</v>
      </c>
      <c r="C6" s="86" t="s">
        <v>54</v>
      </c>
      <c r="D6" s="93">
        <v>-88</v>
      </c>
      <c r="E6" s="86" t="s">
        <v>54</v>
      </c>
      <c r="F6" s="94">
        <v>248</v>
      </c>
      <c r="G6" s="86" t="s">
        <v>54</v>
      </c>
      <c r="H6" s="93">
        <v>-6</v>
      </c>
      <c r="I6" s="94">
        <v>420</v>
      </c>
      <c r="J6" s="95">
        <v>574</v>
      </c>
      <c r="K6" s="91">
        <v>18</v>
      </c>
      <c r="L6" s="91">
        <v>592</v>
      </c>
    </row>
    <row r="7" spans="1:12" ht="12" customHeight="1">
      <c r="A7" s="75" t="s">
        <v>56</v>
      </c>
      <c r="B7" s="76" t="s">
        <v>57</v>
      </c>
      <c r="C7" s="76" t="s">
        <v>57</v>
      </c>
      <c r="D7" s="78">
        <v>48465</v>
      </c>
      <c r="E7" s="76" t="s">
        <v>57</v>
      </c>
      <c r="F7" s="82">
        <v>248</v>
      </c>
      <c r="G7" s="76" t="s">
        <v>57</v>
      </c>
      <c r="H7" s="81">
        <v>-6</v>
      </c>
      <c r="I7" s="82">
        <v>420</v>
      </c>
      <c r="J7" s="79">
        <v>49127</v>
      </c>
      <c r="K7" s="83">
        <v>262</v>
      </c>
      <c r="L7" s="84">
        <v>49389</v>
      </c>
    </row>
    <row r="8" spans="1:12" ht="12" customHeight="1">
      <c r="A8" s="85" t="s">
        <v>58</v>
      </c>
      <c r="B8" s="86" t="s">
        <v>54</v>
      </c>
      <c r="C8" s="86" t="s">
        <v>54</v>
      </c>
      <c r="D8" s="96">
        <v>-44864</v>
      </c>
      <c r="E8" s="86" t="s">
        <v>54</v>
      </c>
      <c r="F8" s="88" t="s">
        <v>54</v>
      </c>
      <c r="G8" s="86" t="s">
        <v>54</v>
      </c>
      <c r="H8" s="89" t="s">
        <v>54</v>
      </c>
      <c r="I8" s="88" t="s">
        <v>54</v>
      </c>
      <c r="J8" s="97">
        <v>-44864</v>
      </c>
      <c r="K8" s="98">
        <v>-98</v>
      </c>
      <c r="L8" s="99">
        <v>-44962</v>
      </c>
    </row>
    <row r="9" spans="1:12" ht="12" customHeight="1">
      <c r="A9" s="85" t="s">
        <v>59</v>
      </c>
      <c r="B9" s="86" t="s">
        <v>54</v>
      </c>
      <c r="C9" s="86" t="s">
        <v>54</v>
      </c>
      <c r="D9" s="87">
        <v>15149</v>
      </c>
      <c r="E9" s="97">
        <v>-15149</v>
      </c>
      <c r="F9" s="88" t="s">
        <v>54</v>
      </c>
      <c r="G9" s="86" t="s">
        <v>54</v>
      </c>
      <c r="H9" s="89" t="s">
        <v>54</v>
      </c>
      <c r="I9" s="88" t="s">
        <v>54</v>
      </c>
      <c r="J9" s="86" t="s">
        <v>54</v>
      </c>
      <c r="K9" s="100" t="s">
        <v>54</v>
      </c>
      <c r="L9" s="100" t="s">
        <v>54</v>
      </c>
    </row>
    <row r="10" spans="1:12" ht="12" customHeight="1">
      <c r="A10" s="85" t="s">
        <v>60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</row>
    <row r="11" spans="1:12" ht="12" customHeight="1">
      <c r="A11" s="85" t="s">
        <v>61</v>
      </c>
      <c r="B11" s="86" t="s">
        <v>54</v>
      </c>
      <c r="C11" s="86" t="s">
        <v>54</v>
      </c>
      <c r="D11" s="102">
        <v>7</v>
      </c>
      <c r="E11" s="86" t="s">
        <v>54</v>
      </c>
      <c r="F11" s="88" t="s">
        <v>54</v>
      </c>
      <c r="G11" s="86" t="s">
        <v>54</v>
      </c>
      <c r="H11" s="89" t="s">
        <v>54</v>
      </c>
      <c r="I11" s="88" t="s">
        <v>54</v>
      </c>
      <c r="J11" s="95">
        <v>7</v>
      </c>
      <c r="K11" s="91">
        <v>21</v>
      </c>
      <c r="L11" s="91">
        <v>28</v>
      </c>
    </row>
    <row r="12" spans="1:12" ht="12" customHeight="1">
      <c r="A12" s="75" t="s">
        <v>62</v>
      </c>
      <c r="B12" s="76" t="s">
        <v>52</v>
      </c>
      <c r="C12" s="77">
        <v>362</v>
      </c>
      <c r="D12" s="78">
        <v>91683</v>
      </c>
      <c r="E12" s="79">
        <v>1085</v>
      </c>
      <c r="F12" s="80">
        <v>3112</v>
      </c>
      <c r="G12" s="77">
        <v>9</v>
      </c>
      <c r="H12" s="81">
        <v>-24</v>
      </c>
      <c r="I12" s="82">
        <v>655</v>
      </c>
      <c r="J12" s="79">
        <v>96882</v>
      </c>
      <c r="K12" s="84">
        <v>1015</v>
      </c>
      <c r="L12" s="84">
        <v>97897</v>
      </c>
    </row>
    <row r="13" spans="1:12" ht="13.25" customHeight="1">
      <c r="A13" s="75" t="s">
        <v>63</v>
      </c>
      <c r="B13" s="76" t="s">
        <v>64</v>
      </c>
      <c r="C13" s="77">
        <v>366</v>
      </c>
      <c r="D13" s="78">
        <v>77594</v>
      </c>
      <c r="E13" s="79">
        <v>11809</v>
      </c>
      <c r="F13" s="80">
        <v>2752</v>
      </c>
      <c r="G13" s="77">
        <v>8</v>
      </c>
      <c r="H13" s="81">
        <v>-28</v>
      </c>
      <c r="I13" s="82">
        <v>41</v>
      </c>
      <c r="J13" s="79">
        <v>92542</v>
      </c>
      <c r="K13" s="83">
        <v>782</v>
      </c>
      <c r="L13" s="84">
        <v>93324</v>
      </c>
    </row>
    <row r="14" spans="1:12" ht="12" customHeight="1">
      <c r="A14" s="85" t="s">
        <v>53</v>
      </c>
      <c r="B14" s="86" t="s">
        <v>54</v>
      </c>
      <c r="C14" s="86" t="s">
        <v>54</v>
      </c>
      <c r="D14" s="87">
        <v>45908</v>
      </c>
      <c r="E14" s="86" t="s">
        <v>54</v>
      </c>
      <c r="F14" s="88" t="s">
        <v>54</v>
      </c>
      <c r="G14" s="86" t="s">
        <v>54</v>
      </c>
      <c r="H14" s="89" t="s">
        <v>54</v>
      </c>
      <c r="I14" s="88" t="s">
        <v>54</v>
      </c>
      <c r="J14" s="90">
        <v>45908</v>
      </c>
      <c r="K14" s="91">
        <v>191</v>
      </c>
      <c r="L14" s="92">
        <v>46099</v>
      </c>
    </row>
    <row r="15" spans="1:12" ht="12" customHeight="1">
      <c r="A15" s="85" t="s">
        <v>55</v>
      </c>
      <c r="B15" s="86" t="s">
        <v>54</v>
      </c>
      <c r="C15" s="86" t="s">
        <v>54</v>
      </c>
      <c r="D15" s="93">
        <v>-13</v>
      </c>
      <c r="E15" s="86" t="s">
        <v>54</v>
      </c>
      <c r="F15" s="94">
        <v>112</v>
      </c>
      <c r="G15" s="95">
        <v>1</v>
      </c>
      <c r="H15" s="102">
        <v>10</v>
      </c>
      <c r="I15" s="94">
        <v>194</v>
      </c>
      <c r="J15" s="95">
        <v>304</v>
      </c>
      <c r="K15" s="98">
        <v>-62</v>
      </c>
      <c r="L15" s="91">
        <v>242</v>
      </c>
    </row>
    <row r="16" spans="1:12" ht="12" customHeight="1">
      <c r="A16" s="75" t="s">
        <v>56</v>
      </c>
      <c r="B16" s="76" t="s">
        <v>57</v>
      </c>
      <c r="C16" s="76" t="s">
        <v>57</v>
      </c>
      <c r="D16" s="78">
        <v>45895</v>
      </c>
      <c r="E16" s="76" t="s">
        <v>57</v>
      </c>
      <c r="F16" s="82">
        <v>112</v>
      </c>
      <c r="G16" s="77">
        <v>1</v>
      </c>
      <c r="H16" s="103">
        <v>10</v>
      </c>
      <c r="I16" s="82">
        <v>194</v>
      </c>
      <c r="J16" s="79">
        <v>46212</v>
      </c>
      <c r="K16" s="83">
        <v>129</v>
      </c>
      <c r="L16" s="84">
        <v>46341</v>
      </c>
    </row>
    <row r="17" spans="1:12" ht="12" customHeight="1">
      <c r="A17" s="85" t="s">
        <v>58</v>
      </c>
      <c r="B17" s="86" t="s">
        <v>54</v>
      </c>
      <c r="C17" s="86" t="s">
        <v>54</v>
      </c>
      <c r="D17" s="96">
        <v>-25137</v>
      </c>
      <c r="E17" s="86" t="s">
        <v>54</v>
      </c>
      <c r="F17" s="88" t="s">
        <v>54</v>
      </c>
      <c r="G17" s="86" t="s">
        <v>54</v>
      </c>
      <c r="H17" s="89" t="s">
        <v>54</v>
      </c>
      <c r="I17" s="88" t="s">
        <v>54</v>
      </c>
      <c r="J17" s="97">
        <v>-25137</v>
      </c>
      <c r="K17" s="98">
        <v>-81</v>
      </c>
      <c r="L17" s="99">
        <v>-25218</v>
      </c>
    </row>
    <row r="18" spans="1:12" ht="12" customHeight="1">
      <c r="A18" s="85" t="s">
        <v>65</v>
      </c>
      <c r="B18" s="86" t="s">
        <v>66</v>
      </c>
      <c r="C18" s="104">
        <v>-4</v>
      </c>
      <c r="D18" s="96">
        <v>-16996</v>
      </c>
      <c r="E18" s="86" t="s">
        <v>54</v>
      </c>
      <c r="F18" s="88" t="s">
        <v>54</v>
      </c>
      <c r="G18" s="86" t="s">
        <v>54</v>
      </c>
      <c r="H18" s="89" t="s">
        <v>54</v>
      </c>
      <c r="I18" s="88" t="s">
        <v>54</v>
      </c>
      <c r="J18" s="97">
        <v>-17000</v>
      </c>
      <c r="K18" s="100" t="s">
        <v>54</v>
      </c>
      <c r="L18" s="99">
        <v>-17000</v>
      </c>
    </row>
    <row r="19" spans="1:12" ht="12" customHeight="1">
      <c r="A19" s="85" t="s">
        <v>67</v>
      </c>
      <c r="B19" s="86" t="s">
        <v>54</v>
      </c>
      <c r="C19" s="86" t="s">
        <v>54</v>
      </c>
      <c r="D19" s="96">
        <v>-3959</v>
      </c>
      <c r="E19" s="86" t="s">
        <v>54</v>
      </c>
      <c r="F19" s="88" t="s">
        <v>54</v>
      </c>
      <c r="G19" s="86" t="s">
        <v>54</v>
      </c>
      <c r="H19" s="89" t="s">
        <v>54</v>
      </c>
      <c r="I19" s="88" t="s">
        <v>54</v>
      </c>
      <c r="J19" s="97">
        <v>-3959</v>
      </c>
      <c r="K19" s="100" t="s">
        <v>54</v>
      </c>
      <c r="L19" s="99">
        <v>-3959</v>
      </c>
    </row>
    <row r="20" spans="1:12" ht="12" customHeight="1">
      <c r="A20" s="85" t="s">
        <v>68</v>
      </c>
      <c r="B20" s="86" t="s">
        <v>54</v>
      </c>
      <c r="C20" s="86" t="s">
        <v>54</v>
      </c>
      <c r="D20" s="93">
        <v>-46</v>
      </c>
      <c r="E20" s="86" t="s">
        <v>54</v>
      </c>
      <c r="F20" s="88" t="s">
        <v>54</v>
      </c>
      <c r="G20" s="86" t="s">
        <v>54</v>
      </c>
      <c r="H20" s="89" t="s">
        <v>54</v>
      </c>
      <c r="I20" s="88" t="s">
        <v>54</v>
      </c>
      <c r="J20" s="104">
        <v>-46</v>
      </c>
      <c r="K20" s="100" t="s">
        <v>54</v>
      </c>
      <c r="L20" s="98">
        <v>-46</v>
      </c>
    </row>
    <row r="21" spans="1:12" ht="12" customHeight="1">
      <c r="A21" s="85" t="s">
        <v>69</v>
      </c>
      <c r="B21" s="86" t="s">
        <v>54</v>
      </c>
      <c r="C21" s="86" t="s">
        <v>54</v>
      </c>
      <c r="D21" s="96">
        <v>-9875</v>
      </c>
      <c r="E21" s="90">
        <v>9875</v>
      </c>
      <c r="F21" s="88" t="s">
        <v>54</v>
      </c>
      <c r="G21" s="86" t="s">
        <v>54</v>
      </c>
      <c r="H21" s="89" t="s">
        <v>54</v>
      </c>
      <c r="I21" s="88" t="s">
        <v>54</v>
      </c>
      <c r="J21" s="86" t="s">
        <v>54</v>
      </c>
      <c r="K21" s="100" t="s">
        <v>54</v>
      </c>
      <c r="L21" s="100" t="s">
        <v>54</v>
      </c>
    </row>
    <row r="22" spans="1:12" ht="12" customHeight="1">
      <c r="A22" s="85" t="s">
        <v>60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</row>
    <row r="23" spans="1:12" ht="12" customHeight="1">
      <c r="A23" s="85" t="s">
        <v>59</v>
      </c>
      <c r="B23" s="86" t="s">
        <v>54</v>
      </c>
      <c r="C23" s="86" t="s">
        <v>54</v>
      </c>
      <c r="D23" s="87">
        <v>5450</v>
      </c>
      <c r="E23" s="97">
        <v>-5450</v>
      </c>
      <c r="F23" s="88" t="s">
        <v>54</v>
      </c>
      <c r="G23" s="86" t="s">
        <v>54</v>
      </c>
      <c r="H23" s="89" t="s">
        <v>54</v>
      </c>
      <c r="I23" s="88" t="s">
        <v>54</v>
      </c>
      <c r="J23" s="86" t="s">
        <v>54</v>
      </c>
      <c r="K23" s="100" t="s">
        <v>54</v>
      </c>
      <c r="L23" s="100" t="s">
        <v>54</v>
      </c>
    </row>
    <row r="24" spans="1:12" ht="12" customHeight="1">
      <c r="A24" s="85" t="s">
        <v>60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</row>
    <row r="25" spans="1:12" ht="12" customHeight="1">
      <c r="A25" s="75" t="s">
        <v>70</v>
      </c>
      <c r="B25" s="76" t="s">
        <v>52</v>
      </c>
      <c r="C25" s="77">
        <v>362</v>
      </c>
      <c r="D25" s="78">
        <v>72926</v>
      </c>
      <c r="E25" s="79">
        <v>16234</v>
      </c>
      <c r="F25" s="80">
        <v>2864</v>
      </c>
      <c r="G25" s="77">
        <v>9</v>
      </c>
      <c r="H25" s="81">
        <v>-18</v>
      </c>
      <c r="I25" s="82">
        <v>235</v>
      </c>
      <c r="J25" s="79">
        <v>92612</v>
      </c>
      <c r="K25" s="83">
        <v>830</v>
      </c>
      <c r="L25" s="84">
        <v>93442</v>
      </c>
    </row>
  </sheetData>
  <mergeCells count="2">
    <mergeCell ref="G2:H2"/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F12" sqref="F12"/>
    </sheetView>
  </sheetViews>
  <sheetFormatPr defaultRowHeight="13"/>
  <cols>
    <col min="1" max="1" width="88.69921875" customWidth="1"/>
    <col min="2" max="2" width="23.59765625" customWidth="1"/>
    <col min="3" max="3" width="16.69921875" customWidth="1"/>
  </cols>
  <sheetData>
    <row r="1" spans="1:3" ht="47" customHeight="1">
      <c r="A1" s="33"/>
      <c r="B1" s="105" t="s">
        <v>71</v>
      </c>
      <c r="C1" s="106" t="s">
        <v>72</v>
      </c>
    </row>
    <row r="2" spans="1:3" ht="16.5" customHeight="1">
      <c r="A2" s="33" t="s">
        <v>147</v>
      </c>
      <c r="B2" s="105"/>
      <c r="C2" s="106"/>
    </row>
    <row r="3" spans="1:3" ht="14.25" customHeight="1">
      <c r="A3" s="35" t="s">
        <v>73</v>
      </c>
      <c r="B3" s="107">
        <v>48797</v>
      </c>
      <c r="C3" s="107">
        <v>46099</v>
      </c>
    </row>
    <row r="4" spans="1:3" ht="28.5" customHeight="1">
      <c r="A4" s="32" t="s">
        <v>74</v>
      </c>
      <c r="B4" s="108">
        <v>5242</v>
      </c>
      <c r="C4" s="108">
        <v>4985</v>
      </c>
    </row>
    <row r="5" spans="1:3" ht="14.25" customHeight="1">
      <c r="A5" s="36" t="s">
        <v>75</v>
      </c>
      <c r="B5" s="109">
        <v>128</v>
      </c>
      <c r="C5" s="109">
        <v>114</v>
      </c>
    </row>
    <row r="6" spans="1:3" ht="28.5" customHeight="1">
      <c r="A6" s="32" t="s">
        <v>76</v>
      </c>
      <c r="B6" s="108">
        <v>16534</v>
      </c>
      <c r="C6" s="108">
        <v>15898</v>
      </c>
    </row>
    <row r="7" spans="1:3" ht="14.25" customHeight="1">
      <c r="A7" s="36" t="s">
        <v>77</v>
      </c>
      <c r="B7" s="110">
        <v>-15</v>
      </c>
      <c r="C7" s="110">
        <v>-7</v>
      </c>
    </row>
    <row r="8" spans="1:3" ht="14.25" customHeight="1">
      <c r="A8" s="36" t="s">
        <v>78</v>
      </c>
      <c r="B8" s="110">
        <v>-1</v>
      </c>
      <c r="C8" s="110">
        <v>-17</v>
      </c>
    </row>
    <row r="9" spans="1:3" ht="14.25" customHeight="1">
      <c r="A9" s="36" t="s">
        <v>79</v>
      </c>
      <c r="B9" s="110">
        <v>-20</v>
      </c>
      <c r="C9" s="110">
        <v>-7</v>
      </c>
    </row>
    <row r="10" spans="1:3" ht="14.25" customHeight="1">
      <c r="A10" s="36" t="s">
        <v>80</v>
      </c>
      <c r="B10" s="110">
        <v>-4</v>
      </c>
      <c r="C10" s="110">
        <v>-36</v>
      </c>
    </row>
    <row r="11" spans="1:3" ht="14.25" customHeight="1">
      <c r="A11" s="36" t="s">
        <v>81</v>
      </c>
      <c r="B11" s="111">
        <v>-3</v>
      </c>
      <c r="C11" s="111">
        <v>-14</v>
      </c>
    </row>
    <row r="12" spans="1:3" ht="13" customHeight="1">
      <c r="A12" s="36" t="s">
        <v>244</v>
      </c>
      <c r="B12" s="110">
        <v>70658</v>
      </c>
      <c r="C12" s="110">
        <v>67015</v>
      </c>
    </row>
    <row r="13" spans="1:3" ht="15" customHeight="1">
      <c r="A13" s="39" t="s">
        <v>245</v>
      </c>
      <c r="B13" s="127">
        <v>-5519</v>
      </c>
      <c r="C13" s="127">
        <v>-3327</v>
      </c>
    </row>
    <row r="14" spans="1:3" ht="14.25" customHeight="1">
      <c r="A14" s="37" t="s">
        <v>82</v>
      </c>
      <c r="B14" s="109">
        <v>291</v>
      </c>
      <c r="C14" s="110">
        <v>-5</v>
      </c>
    </row>
    <row r="15" spans="1:3" ht="14.25" customHeight="1">
      <c r="A15" s="36" t="s">
        <v>83</v>
      </c>
      <c r="B15" s="110">
        <v>-981</v>
      </c>
      <c r="C15" s="112">
        <v>-1092</v>
      </c>
    </row>
    <row r="16" spans="1:3" ht="14.25" customHeight="1">
      <c r="A16" s="36" t="s">
        <v>84</v>
      </c>
      <c r="B16" s="112">
        <v>-2545</v>
      </c>
      <c r="C16" s="112">
        <v>-3160</v>
      </c>
    </row>
    <row r="17" spans="1:3" ht="14.25" customHeight="1">
      <c r="A17" s="36" t="s">
        <v>85</v>
      </c>
      <c r="B17" s="107">
        <v>3718</v>
      </c>
      <c r="C17" s="110">
        <v>-632</v>
      </c>
    </row>
    <row r="18" spans="1:3" ht="14.25" customHeight="1">
      <c r="A18" s="36" t="s">
        <v>86</v>
      </c>
      <c r="B18" s="109">
        <v>395</v>
      </c>
      <c r="C18" s="110">
        <v>-740</v>
      </c>
    </row>
    <row r="19" spans="1:3" ht="14.25" customHeight="1">
      <c r="A19" s="36" t="s">
        <v>87</v>
      </c>
      <c r="B19" s="110">
        <v>-163</v>
      </c>
      <c r="C19" s="110">
        <v>-616</v>
      </c>
    </row>
    <row r="20" spans="1:3" ht="14.25" customHeight="1">
      <c r="A20" s="36" t="s">
        <v>88</v>
      </c>
      <c r="B20" s="113">
        <v>1158</v>
      </c>
      <c r="C20" s="113">
        <v>1978</v>
      </c>
    </row>
    <row r="21" spans="1:3" ht="14.25" customHeight="1">
      <c r="A21" s="35" t="s">
        <v>89</v>
      </c>
      <c r="B21" s="114">
        <v>67012</v>
      </c>
      <c r="C21" s="114">
        <v>59421</v>
      </c>
    </row>
    <row r="22" spans="1:3" ht="14.25" customHeight="1">
      <c r="A22" s="36" t="s">
        <v>90</v>
      </c>
      <c r="B22" s="115">
        <v>-15586</v>
      </c>
      <c r="C22" s="115">
        <v>-12489</v>
      </c>
    </row>
    <row r="23" spans="1:3" ht="14.25" customHeight="1">
      <c r="A23" s="35" t="s">
        <v>91</v>
      </c>
      <c r="B23" s="116">
        <v>51426</v>
      </c>
      <c r="C23" s="116">
        <v>46932</v>
      </c>
    </row>
    <row r="25" spans="1:3">
      <c r="A25" s="33" t="s">
        <v>92</v>
      </c>
      <c r="B25" s="124"/>
      <c r="C25" s="34"/>
    </row>
    <row r="26" spans="1:3">
      <c r="A26" s="36" t="s">
        <v>93</v>
      </c>
      <c r="B26" s="112">
        <v>-10496</v>
      </c>
      <c r="C26" s="112">
        <v>-9471</v>
      </c>
    </row>
    <row r="27" spans="1:3">
      <c r="A27" s="36" t="s">
        <v>94</v>
      </c>
      <c r="B27" s="117" t="s">
        <v>95</v>
      </c>
      <c r="C27" s="117" t="s">
        <v>96</v>
      </c>
    </row>
    <row r="28" spans="1:3">
      <c r="A28" s="36" t="s">
        <v>97</v>
      </c>
      <c r="B28" s="112">
        <v>-2917</v>
      </c>
      <c r="C28" s="112">
        <v>-2202</v>
      </c>
    </row>
    <row r="29" spans="1:3">
      <c r="A29" s="36" t="s">
        <v>98</v>
      </c>
      <c r="B29" s="110">
        <v>-76</v>
      </c>
      <c r="C29" s="110">
        <v>-30</v>
      </c>
    </row>
    <row r="30" spans="1:3">
      <c r="A30" s="36" t="s">
        <v>99</v>
      </c>
      <c r="B30" s="110">
        <v>-944</v>
      </c>
      <c r="C30" s="110">
        <v>-442</v>
      </c>
    </row>
    <row r="31" spans="1:3">
      <c r="A31" s="36" t="s">
        <v>100</v>
      </c>
      <c r="B31" s="110">
        <v>-29</v>
      </c>
      <c r="C31" s="117" t="s">
        <v>101</v>
      </c>
    </row>
    <row r="32" spans="1:3">
      <c r="A32" s="36" t="s">
        <v>102</v>
      </c>
      <c r="B32" s="112">
        <v>-1063</v>
      </c>
      <c r="C32" s="117" t="s">
        <v>101</v>
      </c>
    </row>
    <row r="33" spans="1:3">
      <c r="A33" s="36" t="s">
        <v>103</v>
      </c>
      <c r="B33" s="107">
        <v>8177</v>
      </c>
      <c r="C33" s="107">
        <v>8089</v>
      </c>
    </row>
    <row r="34" spans="1:3">
      <c r="A34" s="36" t="s">
        <v>104</v>
      </c>
      <c r="B34" s="109">
        <v>170</v>
      </c>
      <c r="C34" s="109">
        <v>846</v>
      </c>
    </row>
    <row r="35" spans="1:3">
      <c r="A35" s="36" t="s">
        <v>105</v>
      </c>
      <c r="B35" s="117" t="s">
        <v>106</v>
      </c>
      <c r="C35" s="117" t="s">
        <v>107</v>
      </c>
    </row>
    <row r="36" spans="1:3">
      <c r="A36" s="36" t="s">
        <v>108</v>
      </c>
      <c r="B36" s="109">
        <v>5</v>
      </c>
      <c r="C36" s="109">
        <v>3</v>
      </c>
    </row>
    <row r="37" spans="1:3">
      <c r="A37" s="36" t="s">
        <v>109</v>
      </c>
      <c r="B37" s="109">
        <v>23</v>
      </c>
      <c r="C37" s="109">
        <v>17</v>
      </c>
    </row>
    <row r="38" spans="1:3">
      <c r="A38" s="36" t="s">
        <v>110</v>
      </c>
      <c r="B38" s="117" t="s">
        <v>101</v>
      </c>
      <c r="C38" s="109">
        <v>7</v>
      </c>
    </row>
    <row r="39" spans="1:3">
      <c r="A39" s="36" t="s">
        <v>111</v>
      </c>
      <c r="B39" s="121">
        <v>3</v>
      </c>
      <c r="C39" s="118" t="s">
        <v>101</v>
      </c>
    </row>
    <row r="40" spans="1:3">
      <c r="A40" s="35" t="s">
        <v>112</v>
      </c>
      <c r="B40" s="120">
        <v>-5676</v>
      </c>
      <c r="C40" s="116">
        <v>2734</v>
      </c>
    </row>
    <row r="41" spans="1:3">
      <c r="A41" s="35"/>
      <c r="B41" s="125"/>
      <c r="C41" s="114"/>
    </row>
    <row r="42" spans="1:3">
      <c r="A42" s="35" t="s">
        <v>146</v>
      </c>
      <c r="B42" s="125"/>
      <c r="C42" s="114"/>
    </row>
    <row r="43" spans="1:3">
      <c r="A43" s="39" t="s">
        <v>145</v>
      </c>
      <c r="B43" s="119">
        <v>-1664</v>
      </c>
      <c r="C43" s="119">
        <v>-1614</v>
      </c>
    </row>
    <row r="44" spans="1:3">
      <c r="A44" s="36" t="s">
        <v>113</v>
      </c>
      <c r="B44" s="112">
        <v>-44864</v>
      </c>
      <c r="C44" s="112">
        <v>-25137</v>
      </c>
    </row>
    <row r="45" spans="1:3">
      <c r="A45" s="36" t="s">
        <v>114</v>
      </c>
      <c r="B45" s="110">
        <v>-98</v>
      </c>
      <c r="C45" s="110">
        <v>-81</v>
      </c>
    </row>
    <row r="46" spans="1:3">
      <c r="A46" s="36" t="s">
        <v>115</v>
      </c>
      <c r="B46" s="117" t="s">
        <v>101</v>
      </c>
      <c r="C46" s="110">
        <v>-425</v>
      </c>
    </row>
    <row r="47" spans="1:3">
      <c r="A47" s="36" t="s">
        <v>116</v>
      </c>
      <c r="B47" s="117" t="s">
        <v>101</v>
      </c>
      <c r="C47" s="109">
        <v>425</v>
      </c>
    </row>
    <row r="48" spans="1:3">
      <c r="A48" s="36" t="s">
        <v>117</v>
      </c>
      <c r="B48" s="117" t="s">
        <v>101</v>
      </c>
      <c r="C48" s="110">
        <v>-46</v>
      </c>
    </row>
    <row r="49" spans="1:3">
      <c r="A49" s="36" t="s">
        <v>118</v>
      </c>
      <c r="B49" s="117" t="s">
        <v>101</v>
      </c>
      <c r="C49" s="112">
        <v>-3959</v>
      </c>
    </row>
    <row r="50" spans="1:3">
      <c r="A50" s="36" t="s">
        <v>119</v>
      </c>
      <c r="B50" s="117" t="s">
        <v>101</v>
      </c>
      <c r="C50" s="112">
        <v>-17000</v>
      </c>
    </row>
    <row r="51" spans="1:3">
      <c r="A51" s="36" t="s">
        <v>120</v>
      </c>
      <c r="B51" s="121">
        <v>28</v>
      </c>
      <c r="C51" s="118" t="s">
        <v>101</v>
      </c>
    </row>
    <row r="52" spans="1:3">
      <c r="A52" s="35" t="s">
        <v>121</v>
      </c>
      <c r="B52" s="120">
        <v>-46598</v>
      </c>
      <c r="C52" s="120">
        <v>-47837</v>
      </c>
    </row>
    <row r="53" spans="1:3">
      <c r="A53" s="35" t="s">
        <v>122</v>
      </c>
      <c r="B53" s="126">
        <v>-848</v>
      </c>
      <c r="C53" s="114">
        <v>1829</v>
      </c>
    </row>
    <row r="54" spans="1:3">
      <c r="A54" s="36" t="s">
        <v>123</v>
      </c>
      <c r="B54" s="107">
        <v>9016</v>
      </c>
      <c r="C54" s="107">
        <v>7123</v>
      </c>
    </row>
    <row r="55" spans="1:3">
      <c r="A55" s="36" t="s">
        <v>124</v>
      </c>
      <c r="B55" s="121">
        <v>174</v>
      </c>
      <c r="C55" s="121">
        <v>64</v>
      </c>
    </row>
    <row r="56" spans="1:3">
      <c r="A56" s="35" t="s">
        <v>125</v>
      </c>
      <c r="B56" s="116">
        <v>8342</v>
      </c>
      <c r="C56" s="116">
        <v>9016</v>
      </c>
    </row>
    <row r="57" spans="1:3" ht="25">
      <c r="A57" s="32" t="s">
        <v>126</v>
      </c>
      <c r="B57" s="122">
        <v>3435</v>
      </c>
      <c r="C57" s="122">
        <v>2804</v>
      </c>
    </row>
    <row r="58" spans="1:3">
      <c r="A58" s="37" t="s">
        <v>127</v>
      </c>
      <c r="B58" s="113">
        <v>4907</v>
      </c>
      <c r="C58" s="113">
        <v>6212</v>
      </c>
    </row>
    <row r="59" spans="1:3">
      <c r="A59" s="5"/>
      <c r="B59" s="116">
        <v>8342</v>
      </c>
      <c r="C59" s="116">
        <v>9016</v>
      </c>
    </row>
    <row r="60" spans="1:3" ht="25">
      <c r="A60" s="32" t="s">
        <v>128</v>
      </c>
      <c r="B60" s="123">
        <v>840</v>
      </c>
      <c r="C60" s="123">
        <v>699</v>
      </c>
    </row>
    <row r="61" spans="1:3">
      <c r="A61" s="37" t="s">
        <v>129</v>
      </c>
      <c r="B61" s="107">
        <v>3056</v>
      </c>
      <c r="C61" s="107">
        <v>2990</v>
      </c>
    </row>
    <row r="62" spans="1:3">
      <c r="A62" s="37" t="s">
        <v>130</v>
      </c>
      <c r="B62" s="109">
        <v>40</v>
      </c>
      <c r="C62" s="109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8"/>
  <sheetViews>
    <sheetView workbookViewId="0">
      <selection activeCell="P7" sqref="P7"/>
    </sheetView>
  </sheetViews>
  <sheetFormatPr defaultRowHeight="13"/>
  <cols>
    <col min="2" max="2" width="26.09765625" bestFit="1" customWidth="1"/>
    <col min="3" max="4" width="6.8984375" bestFit="1" customWidth="1"/>
    <col min="6" max="6" width="15" bestFit="1" customWidth="1"/>
    <col min="7" max="8" width="6.8984375" customWidth="1"/>
    <col min="10" max="10" width="18" bestFit="1" customWidth="1"/>
    <col min="11" max="12" width="6.59765625" customWidth="1"/>
    <col min="14" max="14" width="15" bestFit="1" customWidth="1"/>
    <col min="15" max="16" width="6.59765625" customWidth="1"/>
  </cols>
  <sheetData>
    <row r="1" spans="2:16">
      <c r="B1" s="46" t="s">
        <v>166</v>
      </c>
      <c r="C1" s="46"/>
      <c r="D1" s="46"/>
      <c r="F1" s="46" t="s">
        <v>174</v>
      </c>
      <c r="G1" s="46"/>
      <c r="H1" s="46"/>
      <c r="J1" s="46" t="s">
        <v>180</v>
      </c>
      <c r="K1" s="46"/>
      <c r="L1" s="46"/>
      <c r="N1" s="46" t="s">
        <v>184</v>
      </c>
      <c r="O1" s="46"/>
      <c r="P1" s="46"/>
    </row>
    <row r="2" spans="2:16">
      <c r="B2" s="46"/>
      <c r="C2" s="46"/>
      <c r="D2" s="46"/>
      <c r="F2" s="46"/>
      <c r="G2" s="46"/>
      <c r="H2" s="46"/>
      <c r="J2" s="46"/>
      <c r="K2" s="46"/>
      <c r="L2" s="46"/>
      <c r="N2" s="46"/>
      <c r="O2" s="46"/>
      <c r="P2" s="46"/>
    </row>
    <row r="3" spans="2:16">
      <c r="B3" s="40" t="s">
        <v>165</v>
      </c>
      <c r="C3" s="40" t="s">
        <v>164</v>
      </c>
      <c r="D3" s="40" t="s">
        <v>163</v>
      </c>
      <c r="F3" s="40" t="s">
        <v>165</v>
      </c>
      <c r="G3" s="40" t="s">
        <v>164</v>
      </c>
      <c r="H3" s="40" t="s">
        <v>163</v>
      </c>
      <c r="J3" s="40" t="s">
        <v>165</v>
      </c>
      <c r="K3" s="40" t="s">
        <v>164</v>
      </c>
      <c r="L3" s="40" t="s">
        <v>163</v>
      </c>
      <c r="N3" s="40" t="s">
        <v>165</v>
      </c>
      <c r="O3" s="40" t="s">
        <v>164</v>
      </c>
      <c r="P3" s="40" t="s">
        <v>163</v>
      </c>
    </row>
    <row r="4" spans="2:16">
      <c r="B4" s="40" t="s">
        <v>162</v>
      </c>
      <c r="C4" s="40">
        <v>8342</v>
      </c>
      <c r="D4" s="40">
        <v>9016</v>
      </c>
      <c r="F4" s="40" t="s">
        <v>173</v>
      </c>
      <c r="G4" s="40">
        <v>255324</v>
      </c>
      <c r="H4" s="40">
        <v>240893</v>
      </c>
      <c r="J4" s="40" t="s">
        <v>179</v>
      </c>
      <c r="K4" s="40">
        <v>51426</v>
      </c>
      <c r="L4" s="40">
        <v>46932</v>
      </c>
      <c r="N4" s="40" t="s">
        <v>181</v>
      </c>
      <c r="O4" s="40">
        <v>93442</v>
      </c>
      <c r="P4" s="40">
        <v>93324</v>
      </c>
    </row>
    <row r="5" spans="2:16">
      <c r="B5" s="40" t="s">
        <v>161</v>
      </c>
      <c r="C5" s="40">
        <v>6215</v>
      </c>
      <c r="D5" s="40">
        <v>3799</v>
      </c>
      <c r="F5" s="40" t="s">
        <v>172</v>
      </c>
      <c r="G5" s="40">
        <v>155994</v>
      </c>
      <c r="H5" s="40">
        <v>143595</v>
      </c>
      <c r="J5" s="40" t="s">
        <v>178</v>
      </c>
      <c r="K5" s="40">
        <v>-5676</v>
      </c>
      <c r="L5" s="40">
        <v>2734</v>
      </c>
      <c r="N5" s="40" t="s">
        <v>168</v>
      </c>
      <c r="O5" s="40">
        <v>48797</v>
      </c>
      <c r="P5" s="40">
        <v>46099</v>
      </c>
    </row>
    <row r="6" spans="2:16">
      <c r="B6" s="40" t="s">
        <v>160</v>
      </c>
      <c r="C6" s="40">
        <v>30689</v>
      </c>
      <c r="D6" s="40">
        <v>31481</v>
      </c>
      <c r="F6" s="40" t="s">
        <v>171</v>
      </c>
      <c r="G6" s="40">
        <v>99330</v>
      </c>
      <c r="H6" s="40">
        <v>97298</v>
      </c>
      <c r="J6" s="40" t="s">
        <v>177</v>
      </c>
      <c r="K6" s="40">
        <v>-46598</v>
      </c>
      <c r="L6" s="40">
        <v>-47837</v>
      </c>
      <c r="N6" s="40" t="s">
        <v>182</v>
      </c>
      <c r="O6" s="40">
        <v>-44864</v>
      </c>
      <c r="P6" s="40">
        <v>-25137</v>
      </c>
    </row>
    <row r="7" spans="2:16">
      <c r="B7" s="40" t="s">
        <v>159</v>
      </c>
      <c r="C7" s="40">
        <v>50142</v>
      </c>
      <c r="D7" s="40">
        <v>44434</v>
      </c>
      <c r="F7" s="40" t="s">
        <v>170</v>
      </c>
      <c r="G7" s="40">
        <v>62165</v>
      </c>
      <c r="H7" s="40">
        <v>58353</v>
      </c>
      <c r="J7" s="40" t="s">
        <v>176</v>
      </c>
      <c r="K7" s="40">
        <v>-848</v>
      </c>
      <c r="L7" s="40">
        <v>1829</v>
      </c>
      <c r="N7" s="40" t="s">
        <v>183</v>
      </c>
      <c r="O7" s="40">
        <v>97897</v>
      </c>
      <c r="P7" s="40">
        <v>93442</v>
      </c>
    </row>
    <row r="8" spans="2:16">
      <c r="B8" s="40" t="s">
        <v>158</v>
      </c>
      <c r="C8" s="40">
        <v>8904</v>
      </c>
      <c r="D8" s="40">
        <v>9143</v>
      </c>
      <c r="F8" s="40" t="s">
        <v>169</v>
      </c>
      <c r="G8" s="40">
        <v>65331</v>
      </c>
      <c r="H8" s="40">
        <v>61997</v>
      </c>
      <c r="J8" s="40" t="s">
        <v>175</v>
      </c>
      <c r="K8" s="40">
        <v>8342</v>
      </c>
      <c r="L8" s="40">
        <v>9016</v>
      </c>
    </row>
    <row r="9" spans="2:16">
      <c r="B9" s="40" t="s">
        <v>157</v>
      </c>
      <c r="C9" s="40">
        <v>3657</v>
      </c>
      <c r="D9" s="40">
        <v>2665</v>
      </c>
      <c r="F9" s="40" t="s">
        <v>168</v>
      </c>
      <c r="G9" s="40">
        <v>48797</v>
      </c>
      <c r="H9" s="40">
        <v>46099</v>
      </c>
    </row>
    <row r="10" spans="2:16">
      <c r="B10" s="40" t="s">
        <v>156</v>
      </c>
      <c r="C10" s="40">
        <v>257</v>
      </c>
      <c r="D10" s="40">
        <v>151</v>
      </c>
      <c r="F10" s="40" t="s">
        <v>167</v>
      </c>
      <c r="G10" s="40">
        <v>134.19</v>
      </c>
      <c r="H10" s="40">
        <v>125.88</v>
      </c>
    </row>
    <row r="11" spans="2:16">
      <c r="B11" s="40" t="s">
        <v>155</v>
      </c>
      <c r="C11" s="40">
        <v>14805</v>
      </c>
      <c r="D11" s="40">
        <v>12295</v>
      </c>
    </row>
    <row r="12" spans="2:16">
      <c r="B12" s="40" t="s">
        <v>154</v>
      </c>
      <c r="C12" s="40">
        <v>123011</v>
      </c>
      <c r="D12" s="40">
        <v>112984</v>
      </c>
    </row>
    <row r="13" spans="2:16">
      <c r="B13" s="40" t="s">
        <v>153</v>
      </c>
      <c r="C13" s="40">
        <v>38744</v>
      </c>
      <c r="D13" s="40">
        <v>35588</v>
      </c>
    </row>
    <row r="14" spans="2:16">
      <c r="B14" s="40" t="s">
        <v>152</v>
      </c>
      <c r="C14" s="40">
        <v>161755</v>
      </c>
      <c r="D14" s="40">
        <v>148572</v>
      </c>
    </row>
    <row r="15" spans="2:16">
      <c r="B15" s="40" t="s">
        <v>151</v>
      </c>
      <c r="C15" s="40">
        <v>53001</v>
      </c>
      <c r="D15" s="40">
        <v>46104</v>
      </c>
    </row>
    <row r="16" spans="2:16">
      <c r="B16" s="40" t="s">
        <v>150</v>
      </c>
      <c r="C16" s="40">
        <v>10857</v>
      </c>
      <c r="D16" s="40">
        <v>9026</v>
      </c>
    </row>
    <row r="17" spans="2:4">
      <c r="B17" s="40" t="s">
        <v>149</v>
      </c>
      <c r="C17" s="40">
        <v>63858</v>
      </c>
      <c r="D17" s="40">
        <v>55130</v>
      </c>
    </row>
    <row r="18" spans="2:4">
      <c r="B18" s="40" t="s">
        <v>148</v>
      </c>
      <c r="C18" s="40">
        <v>97897</v>
      </c>
      <c r="D18" s="40">
        <v>93442</v>
      </c>
    </row>
  </sheetData>
  <mergeCells count="4">
    <mergeCell ref="B1:D2"/>
    <mergeCell ref="F1:H2"/>
    <mergeCell ref="J1:L2"/>
    <mergeCell ref="N1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>
      <selection activeCell="E9" sqref="E9"/>
    </sheetView>
  </sheetViews>
  <sheetFormatPr defaultRowHeight="13"/>
  <cols>
    <col min="2" max="2" width="17.69921875" bestFit="1" customWidth="1"/>
    <col min="3" max="3" width="34" bestFit="1" customWidth="1"/>
    <col min="4" max="4" width="14.19921875" customWidth="1"/>
    <col min="5" max="5" width="14.19921875" bestFit="1" customWidth="1"/>
  </cols>
  <sheetData>
    <row r="2" spans="2:9" ht="14">
      <c r="B2" s="44" t="s">
        <v>185</v>
      </c>
      <c r="C2" s="44" t="s">
        <v>186</v>
      </c>
      <c r="D2" s="44">
        <v>2025</v>
      </c>
      <c r="E2" s="44">
        <v>2024</v>
      </c>
      <c r="G2" s="38" t="s">
        <v>203</v>
      </c>
    </row>
    <row r="3" spans="2:9" ht="14">
      <c r="B3" s="41" t="s">
        <v>187</v>
      </c>
      <c r="C3" s="41" t="s">
        <v>188</v>
      </c>
      <c r="D3" s="43">
        <f>SUMMARY!C12/SUMMARY!C15</f>
        <v>2.3209184732363539</v>
      </c>
      <c r="E3" s="42">
        <f>SUMMARY!D12/SUMMARY!D15</f>
        <v>2.4506333506854068</v>
      </c>
      <c r="G3">
        <f>((D3-E3)/E3)*100</f>
        <v>-5.2931164677397984</v>
      </c>
    </row>
    <row r="4" spans="2:9" ht="14">
      <c r="B4" s="41" t="s">
        <v>189</v>
      </c>
      <c r="C4" s="41" t="s">
        <v>190</v>
      </c>
      <c r="D4" s="43">
        <f>SUMMARY!C12/SUMMARY!C15</f>
        <v>2.3209184732363539</v>
      </c>
      <c r="E4" s="42">
        <f>SUMMARY!D12/SUMMARY!D15</f>
        <v>2.4506333506854068</v>
      </c>
      <c r="G4">
        <f t="shared" ref="G4:G10" si="0">((D4-E4)/E4)*100</f>
        <v>-5.2931164677397984</v>
      </c>
      <c r="I4" s="38" t="s">
        <v>204</v>
      </c>
    </row>
    <row r="5" spans="2:9" ht="14">
      <c r="B5" s="41" t="s">
        <v>191</v>
      </c>
      <c r="C5" s="41" t="s">
        <v>192</v>
      </c>
      <c r="D5" s="43">
        <f>SUMMARY!G9/SUMMARY!G4</f>
        <v>0.19111795209224358</v>
      </c>
      <c r="E5" s="42">
        <f>SUMMARY!H9/SUMMARY!H4</f>
        <v>0.19136712150207769</v>
      </c>
      <c r="G5">
        <f t="shared" si="0"/>
        <v>-0.13020492124160388</v>
      </c>
    </row>
    <row r="6" spans="2:9" ht="14">
      <c r="B6" s="41" t="s">
        <v>193</v>
      </c>
      <c r="C6" s="41" t="s">
        <v>194</v>
      </c>
      <c r="D6" s="43">
        <f>SUMMARY!G7/SUMMARY!G4</f>
        <v>0.24347495730914445</v>
      </c>
      <c r="E6" s="42">
        <f>SUMMARY!H7/SUMMARY!H4</f>
        <v>0.24223617954859628</v>
      </c>
      <c r="G6">
        <f t="shared" si="0"/>
        <v>0.5113925437796375</v>
      </c>
    </row>
    <row r="7" spans="2:9" ht="14">
      <c r="B7" s="41" t="s">
        <v>195</v>
      </c>
      <c r="C7" s="41" t="s">
        <v>196</v>
      </c>
      <c r="D7" s="43">
        <f>SUMMARY!G9/SUMMARY!O7</f>
        <v>0.49845245513141362</v>
      </c>
      <c r="E7" s="42">
        <f>SUMMARY!H9/SUMMARY!P7</f>
        <v>0.4933434643950258</v>
      </c>
      <c r="G7">
        <f t="shared" si="0"/>
        <v>1.0355849636424881</v>
      </c>
    </row>
    <row r="8" spans="2:9" ht="14">
      <c r="B8" s="41" t="s">
        <v>197</v>
      </c>
      <c r="C8" s="41" t="s">
        <v>198</v>
      </c>
      <c r="D8" s="43">
        <f>SUMMARY!G9/SUMMARY!C14</f>
        <v>0.3016722821551111</v>
      </c>
      <c r="E8" s="42">
        <f>SUMMARY!H9/SUMMARY!D14</f>
        <v>0.31028053738254852</v>
      </c>
      <c r="G8">
        <f t="shared" si="0"/>
        <v>-2.7743458549010414</v>
      </c>
    </row>
    <row r="9" spans="2:9" ht="14">
      <c r="B9" s="41" t="s">
        <v>199</v>
      </c>
      <c r="C9" s="41" t="s">
        <v>200</v>
      </c>
      <c r="D9" s="43">
        <f>SUMMARY!C17/SUMMARY!O7</f>
        <v>0.6522978232223664</v>
      </c>
      <c r="E9" s="42">
        <f>SUMMARY!D17/SUMMARY!P7</f>
        <v>0.58999165257592945</v>
      </c>
      <c r="G9">
        <f t="shared" si="0"/>
        <v>10.560517318237551</v>
      </c>
    </row>
    <row r="10" spans="2:9" ht="14">
      <c r="B10" s="41" t="s">
        <v>201</v>
      </c>
      <c r="C10" s="41" t="s">
        <v>202</v>
      </c>
      <c r="D10" s="43">
        <f>SUMMARY!G4/SUMMARY!C14</f>
        <v>1.5784612531297333</v>
      </c>
      <c r="E10" s="42">
        <f>SUMMARY!H4/SUMMARY!D14</f>
        <v>1.6213889561963224</v>
      </c>
      <c r="G10">
        <f t="shared" si="0"/>
        <v>-2.6475882238210646</v>
      </c>
    </row>
    <row r="15" spans="2:9">
      <c r="C15" s="40"/>
      <c r="D15" s="40"/>
    </row>
    <row r="16" spans="2:9">
      <c r="C16" s="40"/>
      <c r="D16" s="40"/>
    </row>
    <row r="17" spans="3:4">
      <c r="C17" s="40"/>
      <c r="D17" s="40"/>
    </row>
    <row r="18" spans="3:4">
      <c r="C18" s="40"/>
      <c r="D18" s="40"/>
    </row>
    <row r="19" spans="3:4">
      <c r="C19" s="40"/>
      <c r="D19" s="40"/>
    </row>
    <row r="20" spans="3:4">
      <c r="C20" s="40"/>
      <c r="D20" s="40"/>
    </row>
    <row r="21" spans="3:4">
      <c r="C21" s="40"/>
      <c r="D21" s="40"/>
    </row>
    <row r="22" spans="3:4">
      <c r="C22" s="40"/>
      <c r="D22" s="40"/>
    </row>
    <row r="23" spans="3:4">
      <c r="C23" s="40"/>
      <c r="D23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BALANCE SHEET</vt:lpstr>
      <vt:lpstr>P &amp; L</vt:lpstr>
      <vt:lpstr>CHNAGE IN EQUITY</vt:lpstr>
      <vt:lpstr>CASH FLOW STATEMENT</vt:lpstr>
      <vt:lpstr>SUMMARY</vt:lpstr>
      <vt:lpstr>RATIO ANALYSIS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 Shah</dc:creator>
  <cp:lastModifiedBy>HP</cp:lastModifiedBy>
  <dcterms:created xsi:type="dcterms:W3CDTF">2026-03-28T04:19:48Z</dcterms:created>
  <dcterms:modified xsi:type="dcterms:W3CDTF">2026-04-02T15:41:15Z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2025-04-10T00:00:00Z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2026-03-28T00:00:00Z</vt:filetime>
  </property>
  <property fmtid="{D5CDD505-2E9C-101B-9397-08002B2CF9AE}" pid="5" name="Producer">
    <vt:lpwstr>Microsoft® Word for Microsoft 365</vt:lpwstr>
  </property>
</Properties>
</file>