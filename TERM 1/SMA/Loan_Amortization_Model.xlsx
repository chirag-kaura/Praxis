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6740"/>
  </bookViews>
  <sheets>
    <sheet name="Loan Amortization Model" sheetId="1" r:id="rId1"/>
  </sheets>
  <calcPr calcId="144525"/>
</workbook>
</file>

<file path=xl/calcChain.xml><?xml version="1.0" encoding="utf-8"?>
<calcChain xmlns="http://schemas.openxmlformats.org/spreadsheetml/2006/main">
  <c r="B9" i="1" l="1"/>
  <c r="A13" i="1" s="1"/>
  <c r="A14" i="1" s="1"/>
  <c r="B12" i="1"/>
  <c r="B8" i="1"/>
  <c r="C12" i="1" s="1"/>
  <c r="A15" i="1" l="1"/>
  <c r="C14" i="1"/>
  <c r="C13" i="1"/>
  <c r="D12" i="1"/>
  <c r="E12" i="1" s="1"/>
  <c r="F12" i="1" s="1"/>
  <c r="B13" i="1" s="1"/>
  <c r="D13" i="1" l="1"/>
  <c r="E13" i="1" s="1"/>
  <c r="F13" i="1" s="1"/>
  <c r="B14" i="1" s="1"/>
  <c r="C15" i="1"/>
  <c r="A16" i="1"/>
  <c r="C16" i="1" l="1"/>
  <c r="A17" i="1"/>
  <c r="D14" i="1"/>
  <c r="E14" i="1" s="1"/>
  <c r="F14" i="1" s="1"/>
  <c r="B15" i="1" s="1"/>
  <c r="D15" i="1" l="1"/>
  <c r="E15" i="1" s="1"/>
  <c r="F15" i="1" s="1"/>
  <c r="B16" i="1" s="1"/>
  <c r="A18" i="1"/>
  <c r="C17" i="1"/>
  <c r="D16" i="1" l="1"/>
  <c r="E16" i="1" s="1"/>
  <c r="F16" i="1" s="1"/>
  <c r="B17" i="1" s="1"/>
  <c r="A19" i="1"/>
  <c r="C18" i="1"/>
  <c r="D17" i="1" l="1"/>
  <c r="E17" i="1" s="1"/>
  <c r="F17" i="1" s="1"/>
  <c r="B18" i="1" s="1"/>
  <c r="C19" i="1"/>
  <c r="A20" i="1"/>
  <c r="D18" i="1" l="1"/>
  <c r="E18" i="1" s="1"/>
  <c r="F18" i="1" s="1"/>
  <c r="B19" i="1" s="1"/>
  <c r="C20" i="1"/>
  <c r="A21" i="1"/>
  <c r="D19" i="1" l="1"/>
  <c r="E19" i="1" s="1"/>
  <c r="F19" i="1" s="1"/>
  <c r="B20" i="1" s="1"/>
  <c r="A22" i="1"/>
  <c r="C21" i="1"/>
  <c r="D20" i="1" l="1"/>
  <c r="E20" i="1" s="1"/>
  <c r="F20" i="1" s="1"/>
  <c r="B21" i="1" s="1"/>
  <c r="A23" i="1"/>
  <c r="C22" i="1"/>
  <c r="D21" i="1" l="1"/>
  <c r="E21" i="1" s="1"/>
  <c r="F21" i="1" s="1"/>
  <c r="B22" i="1" s="1"/>
  <c r="C23" i="1"/>
  <c r="A24" i="1"/>
  <c r="C24" i="1" l="1"/>
  <c r="A25" i="1"/>
  <c r="D22" i="1"/>
  <c r="E22" i="1" s="1"/>
  <c r="F22" i="1" s="1"/>
  <c r="B23" i="1" s="1"/>
  <c r="D23" i="1" l="1"/>
  <c r="E23" i="1" s="1"/>
  <c r="F23" i="1" s="1"/>
  <c r="B24" i="1" s="1"/>
  <c r="A26" i="1"/>
  <c r="C25" i="1"/>
  <c r="A27" i="1" l="1"/>
  <c r="C26" i="1"/>
  <c r="D24" i="1"/>
  <c r="E24" i="1" s="1"/>
  <c r="F24" i="1" s="1"/>
  <c r="B25" i="1" s="1"/>
  <c r="D25" i="1" l="1"/>
  <c r="E25" i="1" s="1"/>
  <c r="F25" i="1" s="1"/>
  <c r="B26" i="1" s="1"/>
  <c r="C27" i="1"/>
  <c r="A28" i="1"/>
  <c r="D26" i="1" l="1"/>
  <c r="E26" i="1" s="1"/>
  <c r="F26" i="1" s="1"/>
  <c r="B27" i="1" s="1"/>
  <c r="C28" i="1"/>
  <c r="A29" i="1"/>
  <c r="D27" i="1" l="1"/>
  <c r="E27" i="1" s="1"/>
  <c r="F27" i="1" s="1"/>
  <c r="B28" i="1" s="1"/>
  <c r="A30" i="1"/>
  <c r="C29" i="1"/>
  <c r="D28" i="1" l="1"/>
  <c r="E28" i="1" s="1"/>
  <c r="F28" i="1" s="1"/>
  <c r="B29" i="1" s="1"/>
  <c r="A31" i="1"/>
  <c r="C30" i="1"/>
  <c r="D29" i="1" l="1"/>
  <c r="E29" i="1" s="1"/>
  <c r="F29" i="1" s="1"/>
  <c r="B30" i="1" s="1"/>
  <c r="C31" i="1"/>
  <c r="A32" i="1"/>
  <c r="D30" i="1" l="1"/>
  <c r="E30" i="1" s="1"/>
  <c r="F30" i="1" s="1"/>
  <c r="B31" i="1" s="1"/>
  <c r="C32" i="1"/>
  <c r="A33" i="1"/>
  <c r="A34" i="1" l="1"/>
  <c r="C33" i="1"/>
  <c r="D31" i="1"/>
  <c r="E31" i="1" s="1"/>
  <c r="F31" i="1" s="1"/>
  <c r="B32" i="1" s="1"/>
  <c r="D32" i="1" l="1"/>
  <c r="E32" i="1" s="1"/>
  <c r="F32" i="1" s="1"/>
  <c r="B33" i="1" s="1"/>
  <c r="A35" i="1"/>
  <c r="C34" i="1"/>
  <c r="D33" i="1" l="1"/>
  <c r="E33" i="1" s="1"/>
  <c r="F33" i="1" s="1"/>
  <c r="B34" i="1" s="1"/>
  <c r="C35" i="1"/>
  <c r="A36" i="1"/>
  <c r="D34" i="1" l="1"/>
  <c r="E34" i="1" s="1"/>
  <c r="F34" i="1" s="1"/>
  <c r="B35" i="1" s="1"/>
  <c r="C36" i="1"/>
  <c r="A37" i="1"/>
  <c r="D35" i="1" l="1"/>
  <c r="E35" i="1" s="1"/>
  <c r="F35" i="1" s="1"/>
  <c r="B36" i="1" s="1"/>
  <c r="A38" i="1"/>
  <c r="C37" i="1"/>
  <c r="D36" i="1" l="1"/>
  <c r="E36" i="1" s="1"/>
  <c r="F36" i="1" s="1"/>
  <c r="B37" i="1" s="1"/>
  <c r="A39" i="1"/>
  <c r="C38" i="1"/>
  <c r="D37" i="1" l="1"/>
  <c r="E37" i="1" s="1"/>
  <c r="F37" i="1" s="1"/>
  <c r="B38" i="1" s="1"/>
  <c r="C39" i="1"/>
  <c r="A40" i="1"/>
  <c r="D38" i="1" l="1"/>
  <c r="E38" i="1" s="1"/>
  <c r="F38" i="1"/>
  <c r="B39" i="1" s="1"/>
  <c r="C40" i="1"/>
  <c r="A41" i="1"/>
  <c r="A42" i="1" l="1"/>
  <c r="C41" i="1"/>
  <c r="D39" i="1"/>
  <c r="E39" i="1" s="1"/>
  <c r="F39" i="1" s="1"/>
  <c r="B40" i="1" s="1"/>
  <c r="D40" i="1" l="1"/>
  <c r="E40" i="1" s="1"/>
  <c r="F40" i="1" s="1"/>
  <c r="B41" i="1" s="1"/>
  <c r="A43" i="1"/>
  <c r="C42" i="1"/>
  <c r="D41" i="1" l="1"/>
  <c r="E41" i="1" s="1"/>
  <c r="F41" i="1" s="1"/>
  <c r="B42" i="1" s="1"/>
  <c r="C43" i="1"/>
  <c r="A44" i="1"/>
  <c r="D42" i="1" l="1"/>
  <c r="E42" i="1" s="1"/>
  <c r="F42" i="1" s="1"/>
  <c r="B43" i="1" s="1"/>
  <c r="C44" i="1"/>
  <c r="A45" i="1"/>
  <c r="D43" i="1" l="1"/>
  <c r="E43" i="1" s="1"/>
  <c r="F43" i="1" s="1"/>
  <c r="B44" i="1" s="1"/>
  <c r="A46" i="1"/>
  <c r="C45" i="1"/>
  <c r="D44" i="1" l="1"/>
  <c r="E44" i="1" s="1"/>
  <c r="F44" i="1" s="1"/>
  <c r="B45" i="1" s="1"/>
  <c r="A47" i="1"/>
  <c r="C46" i="1"/>
  <c r="D45" i="1" l="1"/>
  <c r="E45" i="1" s="1"/>
  <c r="F45" i="1" s="1"/>
  <c r="B46" i="1" s="1"/>
  <c r="C47" i="1"/>
  <c r="A48" i="1"/>
  <c r="D46" i="1" l="1"/>
  <c r="E46" i="1" s="1"/>
  <c r="F46" i="1" s="1"/>
  <c r="B47" i="1" s="1"/>
  <c r="C48" i="1"/>
  <c r="A49" i="1"/>
  <c r="D47" i="1" l="1"/>
  <c r="E47" i="1" s="1"/>
  <c r="F47" i="1" s="1"/>
  <c r="B48" i="1" s="1"/>
  <c r="A50" i="1"/>
  <c r="C49" i="1"/>
  <c r="D48" i="1" l="1"/>
  <c r="E48" i="1" s="1"/>
  <c r="F48" i="1" s="1"/>
  <c r="B49" i="1" s="1"/>
  <c r="A51" i="1"/>
  <c r="C50" i="1"/>
  <c r="D49" i="1" l="1"/>
  <c r="E49" i="1" s="1"/>
  <c r="F49" i="1" s="1"/>
  <c r="B50" i="1" s="1"/>
  <c r="C51" i="1"/>
  <c r="A52" i="1"/>
  <c r="D50" i="1" l="1"/>
  <c r="E50" i="1" s="1"/>
  <c r="F50" i="1" s="1"/>
  <c r="B51" i="1" s="1"/>
  <c r="C52" i="1"/>
  <c r="A53" i="1"/>
  <c r="D51" i="1" l="1"/>
  <c r="E51" i="1" s="1"/>
  <c r="F51" i="1" s="1"/>
  <c r="B52" i="1" s="1"/>
  <c r="A54" i="1"/>
  <c r="C53" i="1"/>
  <c r="D52" i="1" l="1"/>
  <c r="E52" i="1" s="1"/>
  <c r="F52" i="1" s="1"/>
  <c r="B53" i="1" s="1"/>
  <c r="A55" i="1"/>
  <c r="C54" i="1"/>
  <c r="D53" i="1" l="1"/>
  <c r="E53" i="1" s="1"/>
  <c r="F53" i="1" s="1"/>
  <c r="B54" i="1" s="1"/>
  <c r="C55" i="1"/>
  <c r="A56" i="1"/>
  <c r="D54" i="1" l="1"/>
  <c r="E54" i="1" s="1"/>
  <c r="F54" i="1" s="1"/>
  <c r="B55" i="1" s="1"/>
  <c r="C56" i="1"/>
  <c r="A57" i="1"/>
  <c r="D55" i="1" l="1"/>
  <c r="E55" i="1" s="1"/>
  <c r="F55" i="1" s="1"/>
  <c r="B56" i="1" s="1"/>
  <c r="A58" i="1"/>
  <c r="C57" i="1"/>
  <c r="D56" i="1" l="1"/>
  <c r="E56" i="1" s="1"/>
  <c r="F56" i="1" s="1"/>
  <c r="B57" i="1" s="1"/>
  <c r="A59" i="1"/>
  <c r="C58" i="1"/>
  <c r="D57" i="1" l="1"/>
  <c r="E57" i="1" s="1"/>
  <c r="F57" i="1" s="1"/>
  <c r="B58" i="1" s="1"/>
  <c r="C59" i="1"/>
  <c r="A60" i="1"/>
  <c r="D58" i="1" l="1"/>
  <c r="E58" i="1" s="1"/>
  <c r="F58" i="1" s="1"/>
  <c r="B59" i="1" s="1"/>
  <c r="C60" i="1"/>
  <c r="A61" i="1"/>
  <c r="D59" i="1" l="1"/>
  <c r="E59" i="1" s="1"/>
  <c r="F59" i="1" s="1"/>
  <c r="B60" i="1" s="1"/>
  <c r="A62" i="1"/>
  <c r="C61" i="1"/>
  <c r="D60" i="1" l="1"/>
  <c r="E60" i="1" s="1"/>
  <c r="F60" i="1" s="1"/>
  <c r="B61" i="1" s="1"/>
  <c r="A63" i="1"/>
  <c r="C62" i="1"/>
  <c r="D61" i="1" l="1"/>
  <c r="E61" i="1" s="1"/>
  <c r="F61" i="1" s="1"/>
  <c r="B62" i="1" s="1"/>
  <c r="C63" i="1"/>
  <c r="A64" i="1"/>
  <c r="D62" i="1" l="1"/>
  <c r="E62" i="1" s="1"/>
  <c r="F62" i="1" s="1"/>
  <c r="B63" i="1" s="1"/>
  <c r="C64" i="1"/>
  <c r="A65" i="1"/>
  <c r="D63" i="1" l="1"/>
  <c r="E63" i="1" s="1"/>
  <c r="F63" i="1" s="1"/>
  <c r="B64" i="1" s="1"/>
  <c r="A66" i="1"/>
  <c r="C65" i="1"/>
  <c r="D64" i="1" l="1"/>
  <c r="E64" i="1" s="1"/>
  <c r="F64" i="1" s="1"/>
  <c r="B65" i="1" s="1"/>
  <c r="A67" i="1"/>
  <c r="C66" i="1"/>
  <c r="D65" i="1" l="1"/>
  <c r="E65" i="1" s="1"/>
  <c r="F65" i="1" s="1"/>
  <c r="B66" i="1" s="1"/>
  <c r="C67" i="1"/>
  <c r="A68" i="1"/>
  <c r="D66" i="1" l="1"/>
  <c r="E66" i="1" s="1"/>
  <c r="F66" i="1" s="1"/>
  <c r="B67" i="1" s="1"/>
  <c r="C68" i="1"/>
  <c r="A69" i="1"/>
  <c r="D67" i="1" l="1"/>
  <c r="E67" i="1" s="1"/>
  <c r="F67" i="1" s="1"/>
  <c r="B68" i="1" s="1"/>
  <c r="A70" i="1"/>
  <c r="C69" i="1"/>
  <c r="D68" i="1" l="1"/>
  <c r="E68" i="1" s="1"/>
  <c r="F68" i="1" s="1"/>
  <c r="B69" i="1" s="1"/>
  <c r="A71" i="1"/>
  <c r="C70" i="1"/>
  <c r="D69" i="1" l="1"/>
  <c r="E69" i="1" s="1"/>
  <c r="F69" i="1" s="1"/>
  <c r="B70" i="1" s="1"/>
  <c r="A72" i="1"/>
  <c r="C71" i="1"/>
  <c r="D70" i="1" l="1"/>
  <c r="E70" i="1" s="1"/>
  <c r="F70" i="1" s="1"/>
  <c r="B71" i="1" s="1"/>
  <c r="C72" i="1"/>
  <c r="A73" i="1"/>
  <c r="D71" i="1" l="1"/>
  <c r="E71" i="1" s="1"/>
  <c r="F71" i="1" s="1"/>
  <c r="B72" i="1" s="1"/>
  <c r="C73" i="1"/>
  <c r="A74" i="1"/>
  <c r="A75" i="1" l="1"/>
  <c r="C74" i="1"/>
  <c r="D72" i="1"/>
  <c r="E72" i="1" s="1"/>
  <c r="F72" i="1" s="1"/>
  <c r="B73" i="1" s="1"/>
  <c r="D73" i="1" l="1"/>
  <c r="E73" i="1" s="1"/>
  <c r="F73" i="1" s="1"/>
  <c r="B74" i="1" s="1"/>
  <c r="A76" i="1"/>
  <c r="C75" i="1"/>
  <c r="C76" i="1" l="1"/>
  <c r="A77" i="1"/>
  <c r="D74" i="1"/>
  <c r="E74" i="1" s="1"/>
  <c r="F74" i="1" s="1"/>
  <c r="B75" i="1" s="1"/>
  <c r="D75" i="1" l="1"/>
  <c r="E75" i="1" s="1"/>
  <c r="F75" i="1" s="1"/>
  <c r="B76" i="1" s="1"/>
  <c r="C77" i="1"/>
  <c r="A78" i="1"/>
  <c r="D76" i="1" l="1"/>
  <c r="E76" i="1" s="1"/>
  <c r="F76" i="1" s="1"/>
  <c r="B77" i="1" s="1"/>
  <c r="A79" i="1"/>
  <c r="C78" i="1"/>
  <c r="D77" i="1" l="1"/>
  <c r="E77" i="1" s="1"/>
  <c r="F77" i="1" s="1"/>
  <c r="B78" i="1" s="1"/>
  <c r="A80" i="1"/>
  <c r="C79" i="1"/>
  <c r="D78" i="1" l="1"/>
  <c r="E78" i="1" s="1"/>
  <c r="F78" i="1" s="1"/>
  <c r="B79" i="1" s="1"/>
  <c r="C80" i="1"/>
  <c r="A81" i="1"/>
  <c r="D79" i="1" l="1"/>
  <c r="E79" i="1" s="1"/>
  <c r="F79" i="1" s="1"/>
  <c r="B80" i="1" s="1"/>
  <c r="C81" i="1"/>
  <c r="A82" i="1"/>
  <c r="D80" i="1" l="1"/>
  <c r="E80" i="1" s="1"/>
  <c r="F80" i="1" s="1"/>
  <c r="B81" i="1" s="1"/>
  <c r="A83" i="1"/>
  <c r="C82" i="1"/>
  <c r="D81" i="1" l="1"/>
  <c r="E81" i="1" s="1"/>
  <c r="F81" i="1" s="1"/>
  <c r="B82" i="1" s="1"/>
  <c r="A84" i="1"/>
  <c r="C83" i="1"/>
  <c r="D82" i="1" l="1"/>
  <c r="E82" i="1" s="1"/>
  <c r="F82" i="1" s="1"/>
  <c r="B83" i="1" s="1"/>
  <c r="C84" i="1"/>
  <c r="A85" i="1"/>
  <c r="D83" i="1" l="1"/>
  <c r="E83" i="1" s="1"/>
  <c r="F83" i="1" s="1"/>
  <c r="B84" i="1" s="1"/>
  <c r="C85" i="1"/>
  <c r="A86" i="1"/>
  <c r="D84" i="1" l="1"/>
  <c r="E84" i="1" s="1"/>
  <c r="F84" i="1" s="1"/>
  <c r="B85" i="1" s="1"/>
  <c r="A87" i="1"/>
  <c r="C86" i="1"/>
  <c r="D85" i="1" l="1"/>
  <c r="E85" i="1" s="1"/>
  <c r="F85" i="1" s="1"/>
  <c r="B86" i="1" s="1"/>
  <c r="A88" i="1"/>
  <c r="C87" i="1"/>
  <c r="C88" i="1" l="1"/>
  <c r="A89" i="1"/>
  <c r="D86" i="1"/>
  <c r="E86" i="1" s="1"/>
  <c r="F86" i="1" s="1"/>
  <c r="B87" i="1" s="1"/>
  <c r="D87" i="1" l="1"/>
  <c r="E87" i="1" s="1"/>
  <c r="F87" i="1" s="1"/>
  <c r="B88" i="1" s="1"/>
  <c r="C89" i="1"/>
  <c r="A90" i="1"/>
  <c r="A91" i="1" l="1"/>
  <c r="C90" i="1"/>
  <c r="D88" i="1"/>
  <c r="E88" i="1" s="1"/>
  <c r="F88" i="1" s="1"/>
  <c r="B89" i="1" s="1"/>
  <c r="A92" i="1" l="1"/>
  <c r="C91" i="1"/>
  <c r="D89" i="1"/>
  <c r="E89" i="1" s="1"/>
  <c r="F89" i="1" s="1"/>
  <c r="B90" i="1" s="1"/>
  <c r="D90" i="1" l="1"/>
  <c r="E90" i="1" s="1"/>
  <c r="F90" i="1" s="1"/>
  <c r="B91" i="1" s="1"/>
  <c r="C92" i="1"/>
  <c r="A93" i="1"/>
  <c r="D91" i="1" l="1"/>
  <c r="E91" i="1" s="1"/>
  <c r="F91" i="1" s="1"/>
  <c r="B92" i="1" s="1"/>
  <c r="C93" i="1"/>
  <c r="A94" i="1"/>
  <c r="A95" i="1" l="1"/>
  <c r="C94" i="1"/>
  <c r="D92" i="1"/>
  <c r="E92" i="1" s="1"/>
  <c r="F92" i="1" s="1"/>
  <c r="B93" i="1" s="1"/>
  <c r="D93" i="1" l="1"/>
  <c r="E93" i="1" s="1"/>
  <c r="F93" i="1" s="1"/>
  <c r="B94" i="1" s="1"/>
  <c r="A96" i="1"/>
  <c r="C95" i="1"/>
  <c r="C96" i="1" l="1"/>
  <c r="A97" i="1"/>
  <c r="D94" i="1"/>
  <c r="E94" i="1" s="1"/>
  <c r="F94" i="1" s="1"/>
  <c r="B95" i="1" s="1"/>
  <c r="C97" i="1" l="1"/>
  <c r="A98" i="1"/>
  <c r="D95" i="1"/>
  <c r="E95" i="1" s="1"/>
  <c r="F95" i="1" s="1"/>
  <c r="B96" i="1" s="1"/>
  <c r="D96" i="1" l="1"/>
  <c r="E96" i="1" s="1"/>
  <c r="F96" i="1" s="1"/>
  <c r="B97" i="1" s="1"/>
  <c r="A99" i="1"/>
  <c r="C98" i="1"/>
  <c r="D97" i="1" l="1"/>
  <c r="E97" i="1" s="1"/>
  <c r="F97" i="1" s="1"/>
  <c r="B98" i="1" s="1"/>
  <c r="A100" i="1"/>
  <c r="C99" i="1"/>
  <c r="D98" i="1" l="1"/>
  <c r="E98" i="1" s="1"/>
  <c r="F98" i="1" s="1"/>
  <c r="B99" i="1" s="1"/>
  <c r="C100" i="1"/>
  <c r="A101" i="1"/>
  <c r="D99" i="1" l="1"/>
  <c r="E99" i="1" s="1"/>
  <c r="F99" i="1" s="1"/>
  <c r="B100" i="1" s="1"/>
  <c r="C101" i="1"/>
  <c r="A102" i="1"/>
  <c r="A103" i="1" l="1"/>
  <c r="C102" i="1"/>
  <c r="D100" i="1"/>
  <c r="E100" i="1" s="1"/>
  <c r="F100" i="1" s="1"/>
  <c r="B101" i="1" s="1"/>
  <c r="D101" i="1" l="1"/>
  <c r="E101" i="1" s="1"/>
  <c r="F101" i="1" s="1"/>
  <c r="B102" i="1" s="1"/>
  <c r="A104" i="1"/>
  <c r="C103" i="1"/>
  <c r="C104" i="1" l="1"/>
  <c r="A105" i="1"/>
  <c r="D102" i="1"/>
  <c r="E102" i="1" s="1"/>
  <c r="F102" i="1" s="1"/>
  <c r="B103" i="1" s="1"/>
  <c r="D103" i="1" l="1"/>
  <c r="E103" i="1" s="1"/>
  <c r="F103" i="1" s="1"/>
  <c r="B104" i="1" s="1"/>
  <c r="C105" i="1"/>
  <c r="A106" i="1"/>
  <c r="A107" i="1" l="1"/>
  <c r="C106" i="1"/>
  <c r="D104" i="1"/>
  <c r="E104" i="1" s="1"/>
  <c r="F104" i="1" s="1"/>
  <c r="B105" i="1" s="1"/>
  <c r="D105" i="1" l="1"/>
  <c r="E105" i="1" s="1"/>
  <c r="F105" i="1" s="1"/>
  <c r="B106" i="1" s="1"/>
  <c r="A108" i="1"/>
  <c r="C107" i="1"/>
  <c r="C108" i="1" l="1"/>
  <c r="A109" i="1"/>
  <c r="D106" i="1"/>
  <c r="E106" i="1" s="1"/>
  <c r="F106" i="1" s="1"/>
  <c r="B107" i="1" s="1"/>
  <c r="D107" i="1" l="1"/>
  <c r="E107" i="1" s="1"/>
  <c r="F107" i="1" s="1"/>
  <c r="B108" i="1" s="1"/>
  <c r="C109" i="1"/>
  <c r="A110" i="1"/>
  <c r="D108" i="1" l="1"/>
  <c r="E108" i="1" s="1"/>
  <c r="F108" i="1" s="1"/>
  <c r="B109" i="1" s="1"/>
  <c r="A111" i="1"/>
  <c r="C110" i="1"/>
  <c r="D109" i="1" l="1"/>
  <c r="E109" i="1" s="1"/>
  <c r="F109" i="1" s="1"/>
  <c r="B110" i="1" s="1"/>
  <c r="A112" i="1"/>
  <c r="C111" i="1"/>
  <c r="D110" i="1" l="1"/>
  <c r="E110" i="1" s="1"/>
  <c r="F110" i="1" s="1"/>
  <c r="B111" i="1" s="1"/>
  <c r="C112" i="1"/>
  <c r="A113" i="1"/>
  <c r="D111" i="1" l="1"/>
  <c r="E111" i="1" s="1"/>
  <c r="F111" i="1" s="1"/>
  <c r="B112" i="1" s="1"/>
  <c r="C113" i="1"/>
  <c r="A114" i="1"/>
  <c r="A115" i="1" l="1"/>
  <c r="C114" i="1"/>
  <c r="D112" i="1"/>
  <c r="E112" i="1" s="1"/>
  <c r="F112" i="1" s="1"/>
  <c r="B113" i="1" s="1"/>
  <c r="D113" i="1" l="1"/>
  <c r="E113" i="1" s="1"/>
  <c r="F113" i="1" s="1"/>
  <c r="B114" i="1" s="1"/>
  <c r="A116" i="1"/>
  <c r="C115" i="1"/>
  <c r="C116" i="1" l="1"/>
  <c r="A117" i="1"/>
  <c r="D114" i="1"/>
  <c r="E114" i="1" s="1"/>
  <c r="F114" i="1" s="1"/>
  <c r="B115" i="1" s="1"/>
  <c r="D115" i="1" l="1"/>
  <c r="E115" i="1" s="1"/>
  <c r="F115" i="1" s="1"/>
  <c r="B116" i="1" s="1"/>
  <c r="C117" i="1"/>
  <c r="A118" i="1"/>
  <c r="D116" i="1" l="1"/>
  <c r="E116" i="1" s="1"/>
  <c r="F116" i="1" s="1"/>
  <c r="B117" i="1" s="1"/>
  <c r="A119" i="1"/>
  <c r="C118" i="1"/>
  <c r="D117" i="1" l="1"/>
  <c r="E117" i="1" s="1"/>
  <c r="F117" i="1" s="1"/>
  <c r="B118" i="1" s="1"/>
  <c r="A120" i="1"/>
  <c r="C119" i="1"/>
  <c r="D118" i="1" l="1"/>
  <c r="E118" i="1" s="1"/>
  <c r="F118" i="1" s="1"/>
  <c r="B119" i="1" s="1"/>
  <c r="C120" i="1"/>
  <c r="A121" i="1"/>
  <c r="C121" i="1" l="1"/>
  <c r="A122" i="1"/>
  <c r="D119" i="1"/>
  <c r="E119" i="1" s="1"/>
  <c r="F119" i="1" s="1"/>
  <c r="B120" i="1" s="1"/>
  <c r="D120" i="1" l="1"/>
  <c r="E120" i="1" s="1"/>
  <c r="F120" i="1" s="1"/>
  <c r="B121" i="1" s="1"/>
  <c r="A123" i="1"/>
  <c r="C122" i="1"/>
  <c r="A124" i="1" l="1"/>
  <c r="C123" i="1"/>
  <c r="D121" i="1"/>
  <c r="E121" i="1" s="1"/>
  <c r="F121" i="1" s="1"/>
  <c r="B122" i="1" s="1"/>
  <c r="D122" i="1" l="1"/>
  <c r="E122" i="1" s="1"/>
  <c r="F122" i="1" s="1"/>
  <c r="B123" i="1" s="1"/>
  <c r="C124" i="1"/>
  <c r="A125" i="1"/>
  <c r="D123" i="1" l="1"/>
  <c r="E123" i="1" s="1"/>
  <c r="F123" i="1" s="1"/>
  <c r="B124" i="1" s="1"/>
  <c r="C125" i="1"/>
  <c r="A126" i="1"/>
  <c r="A127" i="1" l="1"/>
  <c r="C126" i="1"/>
  <c r="D124" i="1"/>
  <c r="E124" i="1" s="1"/>
  <c r="F124" i="1" s="1"/>
  <c r="B125" i="1" s="1"/>
  <c r="D125" i="1" l="1"/>
  <c r="E125" i="1" s="1"/>
  <c r="F125" i="1" s="1"/>
  <c r="B126" i="1" s="1"/>
  <c r="A128" i="1"/>
  <c r="C127" i="1"/>
  <c r="D126" i="1" l="1"/>
  <c r="E126" i="1" s="1"/>
  <c r="F126" i="1" s="1"/>
  <c r="B127" i="1" s="1"/>
  <c r="C128" i="1"/>
  <c r="A129" i="1"/>
  <c r="D127" i="1" l="1"/>
  <c r="E127" i="1" s="1"/>
  <c r="F127" i="1" s="1"/>
  <c r="B128" i="1" s="1"/>
  <c r="C129" i="1"/>
  <c r="A130" i="1"/>
  <c r="D128" i="1" l="1"/>
  <c r="E128" i="1" s="1"/>
  <c r="F128" i="1" s="1"/>
  <c r="B129" i="1" s="1"/>
  <c r="A131" i="1"/>
  <c r="C130" i="1"/>
  <c r="D129" i="1" l="1"/>
  <c r="E129" i="1" s="1"/>
  <c r="F129" i="1" s="1"/>
  <c r="B130" i="1" s="1"/>
  <c r="A132" i="1"/>
  <c r="C131" i="1"/>
  <c r="D130" i="1" l="1"/>
  <c r="E130" i="1" s="1"/>
  <c r="F130" i="1" s="1"/>
  <c r="B131" i="1" s="1"/>
  <c r="C132" i="1"/>
  <c r="A133" i="1"/>
  <c r="D131" i="1" l="1"/>
  <c r="E131" i="1" s="1"/>
  <c r="F131" i="1" s="1"/>
  <c r="B132" i="1" s="1"/>
  <c r="C133" i="1"/>
  <c r="A134" i="1"/>
  <c r="D132" i="1" l="1"/>
  <c r="E132" i="1" s="1"/>
  <c r="F132" i="1" s="1"/>
  <c r="B133" i="1" s="1"/>
  <c r="A135" i="1"/>
  <c r="C134" i="1"/>
  <c r="D133" i="1" l="1"/>
  <c r="E133" i="1" s="1"/>
  <c r="F133" i="1" s="1"/>
  <c r="B134" i="1" s="1"/>
  <c r="A136" i="1"/>
  <c r="C135" i="1"/>
  <c r="D134" i="1" l="1"/>
  <c r="E134" i="1" s="1"/>
  <c r="F134" i="1" s="1"/>
  <c r="B135" i="1" s="1"/>
  <c r="C136" i="1"/>
  <c r="A137" i="1"/>
  <c r="D135" i="1" l="1"/>
  <c r="E135" i="1" s="1"/>
  <c r="F135" i="1" s="1"/>
  <c r="B136" i="1" s="1"/>
  <c r="C137" i="1"/>
  <c r="A138" i="1"/>
  <c r="D136" i="1" l="1"/>
  <c r="E136" i="1" s="1"/>
  <c r="F136" i="1" s="1"/>
  <c r="B137" i="1" s="1"/>
  <c r="A139" i="1"/>
  <c r="C138" i="1"/>
  <c r="D137" i="1" l="1"/>
  <c r="E137" i="1" s="1"/>
  <c r="F137" i="1" s="1"/>
  <c r="B138" i="1" s="1"/>
  <c r="A140" i="1"/>
  <c r="C139" i="1"/>
  <c r="D138" i="1" l="1"/>
  <c r="E138" i="1" s="1"/>
  <c r="F138" i="1" s="1"/>
  <c r="B139" i="1" s="1"/>
  <c r="C140" i="1"/>
  <c r="A141" i="1"/>
  <c r="D139" i="1" l="1"/>
  <c r="E139" i="1" s="1"/>
  <c r="F139" i="1" s="1"/>
  <c r="B140" i="1" s="1"/>
  <c r="C141" i="1"/>
  <c r="A142" i="1"/>
  <c r="A143" i="1" l="1"/>
  <c r="C142" i="1"/>
  <c r="D140" i="1"/>
  <c r="E140" i="1" s="1"/>
  <c r="F140" i="1" s="1"/>
  <c r="B141" i="1" s="1"/>
  <c r="D141" i="1" l="1"/>
  <c r="E141" i="1" s="1"/>
  <c r="F141" i="1" s="1"/>
  <c r="B142" i="1" s="1"/>
  <c r="A144" i="1"/>
  <c r="C143" i="1"/>
  <c r="D142" i="1" l="1"/>
  <c r="E142" i="1" s="1"/>
  <c r="F142" i="1" s="1"/>
  <c r="B143" i="1" s="1"/>
  <c r="C144" i="1"/>
  <c r="A145" i="1"/>
  <c r="D143" i="1" l="1"/>
  <c r="E143" i="1" s="1"/>
  <c r="F143" i="1" s="1"/>
  <c r="B144" i="1" s="1"/>
  <c r="C145" i="1"/>
  <c r="A146" i="1"/>
  <c r="D144" i="1" l="1"/>
  <c r="E144" i="1" s="1"/>
  <c r="F144" i="1" s="1"/>
  <c r="B145" i="1" s="1"/>
  <c r="A147" i="1"/>
  <c r="C146" i="1"/>
  <c r="D145" i="1" l="1"/>
  <c r="E145" i="1" s="1"/>
  <c r="F145" i="1" s="1"/>
  <c r="B146" i="1" s="1"/>
  <c r="A148" i="1"/>
  <c r="C147" i="1"/>
  <c r="D146" i="1" l="1"/>
  <c r="E146" i="1" s="1"/>
  <c r="F146" i="1" s="1"/>
  <c r="B147" i="1" s="1"/>
  <c r="C148" i="1"/>
  <c r="A149" i="1"/>
  <c r="D147" i="1" l="1"/>
  <c r="E147" i="1" s="1"/>
  <c r="F147" i="1" s="1"/>
  <c r="B148" i="1" s="1"/>
  <c r="C149" i="1"/>
  <c r="A150" i="1"/>
  <c r="D148" i="1" l="1"/>
  <c r="E148" i="1" s="1"/>
  <c r="F148" i="1" s="1"/>
  <c r="B149" i="1" s="1"/>
  <c r="A151" i="1"/>
  <c r="C150" i="1"/>
  <c r="D149" i="1" l="1"/>
  <c r="E149" i="1" s="1"/>
  <c r="F149" i="1" s="1"/>
  <c r="B150" i="1" s="1"/>
  <c r="A152" i="1"/>
  <c r="C151" i="1"/>
  <c r="D150" i="1" l="1"/>
  <c r="E150" i="1" s="1"/>
  <c r="F150" i="1" s="1"/>
  <c r="B151" i="1" s="1"/>
  <c r="C152" i="1"/>
  <c r="A153" i="1"/>
  <c r="D151" i="1" l="1"/>
  <c r="E151" i="1" s="1"/>
  <c r="F151" i="1" s="1"/>
  <c r="B152" i="1" s="1"/>
  <c r="C153" i="1"/>
  <c r="A154" i="1"/>
  <c r="A155" i="1" l="1"/>
  <c r="C154" i="1"/>
  <c r="D152" i="1"/>
  <c r="E152" i="1" s="1"/>
  <c r="F152" i="1" s="1"/>
  <c r="B153" i="1" s="1"/>
  <c r="D153" i="1" l="1"/>
  <c r="E153" i="1" s="1"/>
  <c r="F153" i="1" s="1"/>
  <c r="B154" i="1" s="1"/>
  <c r="A156" i="1"/>
  <c r="C155" i="1"/>
  <c r="D154" i="1" l="1"/>
  <c r="E154" i="1" s="1"/>
  <c r="F154" i="1" s="1"/>
  <c r="B155" i="1" s="1"/>
  <c r="C156" i="1"/>
  <c r="A157" i="1"/>
  <c r="D155" i="1" l="1"/>
  <c r="E155" i="1" s="1"/>
  <c r="F155" i="1" s="1"/>
  <c r="B156" i="1" s="1"/>
  <c r="C157" i="1"/>
  <c r="A158" i="1"/>
  <c r="D156" i="1" l="1"/>
  <c r="E156" i="1" s="1"/>
  <c r="F156" i="1" s="1"/>
  <c r="B157" i="1" s="1"/>
  <c r="A159" i="1"/>
  <c r="C158" i="1"/>
  <c r="D157" i="1" l="1"/>
  <c r="E157" i="1" s="1"/>
  <c r="F157" i="1" s="1"/>
  <c r="B158" i="1" s="1"/>
  <c r="A160" i="1"/>
  <c r="C159" i="1"/>
  <c r="D158" i="1" l="1"/>
  <c r="E158" i="1" s="1"/>
  <c r="F158" i="1" s="1"/>
  <c r="B159" i="1" s="1"/>
  <c r="C160" i="1"/>
  <c r="A161" i="1"/>
  <c r="D159" i="1" l="1"/>
  <c r="E159" i="1" s="1"/>
  <c r="F159" i="1" s="1"/>
  <c r="B160" i="1" s="1"/>
  <c r="C161" i="1"/>
  <c r="A162" i="1"/>
  <c r="A163" i="1" l="1"/>
  <c r="C162" i="1"/>
  <c r="D160" i="1"/>
  <c r="E160" i="1" s="1"/>
  <c r="F160" i="1" s="1"/>
  <c r="B161" i="1" s="1"/>
  <c r="D161" i="1" l="1"/>
  <c r="E161" i="1" s="1"/>
  <c r="F161" i="1" s="1"/>
  <c r="B162" i="1" s="1"/>
  <c r="A164" i="1"/>
  <c r="C163" i="1"/>
  <c r="D162" i="1" l="1"/>
  <c r="E162" i="1" s="1"/>
  <c r="F162" i="1" s="1"/>
  <c r="B163" i="1" s="1"/>
  <c r="C164" i="1"/>
  <c r="A165" i="1"/>
  <c r="D163" i="1" l="1"/>
  <c r="E163" i="1" s="1"/>
  <c r="F163" i="1" s="1"/>
  <c r="B164" i="1" s="1"/>
  <c r="C165" i="1"/>
  <c r="A166" i="1"/>
  <c r="D164" i="1" l="1"/>
  <c r="E164" i="1" s="1"/>
  <c r="F164" i="1" s="1"/>
  <c r="B165" i="1" s="1"/>
  <c r="A167" i="1"/>
  <c r="C166" i="1"/>
  <c r="D165" i="1" l="1"/>
  <c r="E165" i="1" s="1"/>
  <c r="F165" i="1" s="1"/>
  <c r="B166" i="1" s="1"/>
  <c r="A168" i="1"/>
  <c r="C167" i="1"/>
  <c r="D166" i="1" l="1"/>
  <c r="E166" i="1" s="1"/>
  <c r="F166" i="1" s="1"/>
  <c r="B167" i="1" s="1"/>
  <c r="C168" i="1"/>
  <c r="A169" i="1"/>
  <c r="D167" i="1" l="1"/>
  <c r="E167" i="1" s="1"/>
  <c r="F167" i="1" s="1"/>
  <c r="B168" i="1" s="1"/>
  <c r="C169" i="1"/>
  <c r="A170" i="1"/>
  <c r="A171" i="1" l="1"/>
  <c r="C170" i="1"/>
  <c r="D168" i="1"/>
  <c r="E168" i="1" s="1"/>
  <c r="F168" i="1" s="1"/>
  <c r="B169" i="1" s="1"/>
  <c r="D169" i="1" l="1"/>
  <c r="E169" i="1" s="1"/>
  <c r="F169" i="1" s="1"/>
  <c r="B170" i="1" s="1"/>
  <c r="C171" i="1"/>
  <c r="A172" i="1"/>
  <c r="D170" i="1" l="1"/>
  <c r="E170" i="1" s="1"/>
  <c r="F170" i="1" s="1"/>
  <c r="B171" i="1" s="1"/>
  <c r="A173" i="1"/>
  <c r="C172" i="1"/>
  <c r="D171" i="1" l="1"/>
  <c r="E171" i="1" s="1"/>
  <c r="F171" i="1" s="1"/>
  <c r="B172" i="1" s="1"/>
  <c r="A174" i="1"/>
  <c r="C173" i="1"/>
  <c r="D172" i="1" l="1"/>
  <c r="E172" i="1" s="1"/>
  <c r="F172" i="1" s="1"/>
  <c r="B173" i="1" s="1"/>
  <c r="A175" i="1"/>
  <c r="C174" i="1"/>
  <c r="D173" i="1" l="1"/>
  <c r="E173" i="1" s="1"/>
  <c r="F173" i="1" s="1"/>
  <c r="B174" i="1" s="1"/>
  <c r="C175" i="1"/>
  <c r="A176" i="1"/>
  <c r="D174" i="1" l="1"/>
  <c r="E174" i="1" s="1"/>
  <c r="F174" i="1" s="1"/>
  <c r="B175" i="1" s="1"/>
  <c r="C176" i="1"/>
  <c r="A177" i="1"/>
  <c r="D175" i="1" l="1"/>
  <c r="E175" i="1" s="1"/>
  <c r="F175" i="1" s="1"/>
  <c r="B176" i="1" s="1"/>
  <c r="A178" i="1"/>
  <c r="C177" i="1"/>
  <c r="D176" i="1" l="1"/>
  <c r="E176" i="1" s="1"/>
  <c r="F176" i="1" s="1"/>
  <c r="B177" i="1" s="1"/>
  <c r="A179" i="1"/>
  <c r="C178" i="1"/>
  <c r="D177" i="1" l="1"/>
  <c r="E177" i="1" s="1"/>
  <c r="F177" i="1" s="1"/>
  <c r="B178" i="1" s="1"/>
  <c r="C179" i="1"/>
  <c r="A180" i="1"/>
  <c r="D178" i="1" l="1"/>
  <c r="E178" i="1" s="1"/>
  <c r="F178" i="1" s="1"/>
  <c r="B179" i="1" s="1"/>
  <c r="A181" i="1"/>
  <c r="C180" i="1"/>
  <c r="D179" i="1" l="1"/>
  <c r="E179" i="1" s="1"/>
  <c r="F179" i="1" s="1"/>
  <c r="B180" i="1" s="1"/>
  <c r="A182" i="1"/>
  <c r="C181" i="1"/>
  <c r="D180" i="1" l="1"/>
  <c r="E180" i="1" s="1"/>
  <c r="F180" i="1" s="1"/>
  <c r="B181" i="1" s="1"/>
  <c r="A183" i="1"/>
  <c r="C182" i="1"/>
  <c r="D181" i="1" l="1"/>
  <c r="E181" i="1" s="1"/>
  <c r="F181" i="1" s="1"/>
  <c r="B182" i="1" s="1"/>
  <c r="C183" i="1"/>
  <c r="A184" i="1"/>
  <c r="D182" i="1" l="1"/>
  <c r="E182" i="1" s="1"/>
  <c r="F182" i="1" s="1"/>
  <c r="B183" i="1" s="1"/>
  <c r="C184" i="1"/>
  <c r="A185" i="1"/>
  <c r="D183" i="1" l="1"/>
  <c r="E183" i="1" s="1"/>
  <c r="F183" i="1" s="1"/>
  <c r="B184" i="1" s="1"/>
  <c r="A186" i="1"/>
  <c r="C185" i="1"/>
  <c r="D184" i="1" l="1"/>
  <c r="E184" i="1" s="1"/>
  <c r="F184" i="1" s="1"/>
  <c r="B185" i="1" s="1"/>
  <c r="A187" i="1"/>
  <c r="C186" i="1"/>
  <c r="D185" i="1" l="1"/>
  <c r="E185" i="1" s="1"/>
  <c r="F185" i="1" s="1"/>
  <c r="B186" i="1" s="1"/>
  <c r="C187" i="1"/>
  <c r="A188" i="1"/>
  <c r="D186" i="1" l="1"/>
  <c r="E186" i="1" s="1"/>
  <c r="F186" i="1" s="1"/>
  <c r="B187" i="1" s="1"/>
  <c r="A189" i="1"/>
  <c r="C188" i="1"/>
  <c r="D187" i="1" l="1"/>
  <c r="E187" i="1" s="1"/>
  <c r="F187" i="1" s="1"/>
  <c r="B188" i="1" s="1"/>
  <c r="A190" i="1"/>
  <c r="C189" i="1"/>
  <c r="D188" i="1" l="1"/>
  <c r="E188" i="1" s="1"/>
  <c r="F188" i="1" s="1"/>
  <c r="B189" i="1" s="1"/>
  <c r="A191" i="1"/>
  <c r="C190" i="1"/>
  <c r="D189" i="1" l="1"/>
  <c r="E189" i="1" s="1"/>
  <c r="F189" i="1" s="1"/>
  <c r="B190" i="1" s="1"/>
  <c r="C191" i="1"/>
  <c r="A192" i="1"/>
  <c r="C192" i="1" l="1"/>
  <c r="A193" i="1"/>
  <c r="D190" i="1"/>
  <c r="E190" i="1" s="1"/>
  <c r="F190" i="1" s="1"/>
  <c r="B191" i="1" s="1"/>
  <c r="D191" i="1" l="1"/>
  <c r="E191" i="1" s="1"/>
  <c r="F191" i="1"/>
  <c r="B192" i="1" s="1"/>
  <c r="A194" i="1"/>
  <c r="C193" i="1"/>
  <c r="D192" i="1" l="1"/>
  <c r="E192" i="1" s="1"/>
  <c r="F192" i="1" s="1"/>
  <c r="B193" i="1" s="1"/>
  <c r="A195" i="1"/>
  <c r="C194" i="1"/>
  <c r="D193" i="1" l="1"/>
  <c r="E193" i="1" s="1"/>
  <c r="F193" i="1" s="1"/>
  <c r="B194" i="1" s="1"/>
  <c r="C195" i="1"/>
  <c r="A196" i="1"/>
  <c r="D194" i="1" l="1"/>
  <c r="E194" i="1" s="1"/>
  <c r="F194" i="1" s="1"/>
  <c r="B195" i="1" s="1"/>
  <c r="C196" i="1"/>
  <c r="A197" i="1"/>
  <c r="D195" i="1" l="1"/>
  <c r="E195" i="1" s="1"/>
  <c r="F195" i="1" s="1"/>
  <c r="B196" i="1" s="1"/>
  <c r="A198" i="1"/>
  <c r="C197" i="1"/>
  <c r="D196" i="1" l="1"/>
  <c r="E196" i="1" s="1"/>
  <c r="F196" i="1" s="1"/>
  <c r="B197" i="1" s="1"/>
  <c r="A199" i="1"/>
  <c r="C198" i="1"/>
  <c r="D197" i="1" l="1"/>
  <c r="E197" i="1" s="1"/>
  <c r="F197" i="1" s="1"/>
  <c r="B198" i="1" s="1"/>
  <c r="C199" i="1"/>
  <c r="A200" i="1"/>
  <c r="D198" i="1" l="1"/>
  <c r="E198" i="1" s="1"/>
  <c r="F198" i="1"/>
  <c r="B199" i="1" s="1"/>
  <c r="A201" i="1"/>
  <c r="C200" i="1"/>
  <c r="A202" i="1" l="1"/>
  <c r="C201" i="1"/>
  <c r="D199" i="1"/>
  <c r="E199" i="1" s="1"/>
  <c r="F199" i="1" s="1"/>
  <c r="B200" i="1" s="1"/>
  <c r="D200" i="1" l="1"/>
  <c r="E200" i="1" s="1"/>
  <c r="F200" i="1" s="1"/>
  <c r="B201" i="1" s="1"/>
  <c r="A203" i="1"/>
  <c r="C202" i="1"/>
  <c r="D201" i="1" l="1"/>
  <c r="E201" i="1" s="1"/>
  <c r="F201" i="1" s="1"/>
  <c r="B202" i="1" s="1"/>
  <c r="C203" i="1"/>
  <c r="A204" i="1"/>
  <c r="A205" i="1" l="1"/>
  <c r="C204" i="1"/>
  <c r="D202" i="1"/>
  <c r="E202" i="1" s="1"/>
  <c r="F202" i="1" s="1"/>
  <c r="B203" i="1" s="1"/>
  <c r="D203" i="1" l="1"/>
  <c r="E203" i="1" s="1"/>
  <c r="F203" i="1" s="1"/>
  <c r="B204" i="1" s="1"/>
  <c r="A206" i="1"/>
  <c r="C205" i="1"/>
  <c r="D204" i="1" l="1"/>
  <c r="E204" i="1" s="1"/>
  <c r="F204" i="1" s="1"/>
  <c r="B205" i="1" s="1"/>
  <c r="A207" i="1"/>
  <c r="C206" i="1"/>
  <c r="D205" i="1" l="1"/>
  <c r="E205" i="1" s="1"/>
  <c r="F205" i="1" s="1"/>
  <c r="B206" i="1" s="1"/>
  <c r="C207" i="1"/>
  <c r="A208" i="1"/>
  <c r="D206" i="1" l="1"/>
  <c r="E206" i="1" s="1"/>
  <c r="F206" i="1" s="1"/>
  <c r="B207" i="1" s="1"/>
  <c r="C208" i="1"/>
  <c r="A209" i="1"/>
  <c r="D207" i="1" l="1"/>
  <c r="E207" i="1" s="1"/>
  <c r="F207" i="1" s="1"/>
  <c r="B208" i="1" s="1"/>
  <c r="A210" i="1"/>
  <c r="C209" i="1"/>
  <c r="D208" i="1" l="1"/>
  <c r="E208" i="1" s="1"/>
  <c r="F208" i="1" s="1"/>
  <c r="B209" i="1" s="1"/>
  <c r="C210" i="1"/>
  <c r="A211" i="1"/>
  <c r="D209" i="1" l="1"/>
  <c r="E209" i="1" s="1"/>
  <c r="F209" i="1" s="1"/>
  <c r="B210" i="1" s="1"/>
  <c r="C211" i="1"/>
  <c r="A212" i="1"/>
  <c r="D210" i="1" l="1"/>
  <c r="E210" i="1" s="1"/>
  <c r="F210" i="1"/>
  <c r="B211" i="1" s="1"/>
  <c r="C212" i="1"/>
  <c r="A213" i="1"/>
  <c r="D211" i="1" l="1"/>
  <c r="E211" i="1" s="1"/>
  <c r="F211" i="1" s="1"/>
  <c r="B212" i="1" s="1"/>
  <c r="A214" i="1"/>
  <c r="C213" i="1"/>
  <c r="D212" i="1" l="1"/>
  <c r="E212" i="1" s="1"/>
  <c r="F212" i="1"/>
  <c r="B213" i="1" s="1"/>
  <c r="A215" i="1"/>
  <c r="C214" i="1"/>
  <c r="C215" i="1" l="1"/>
  <c r="A216" i="1"/>
  <c r="D213" i="1"/>
  <c r="E213" i="1" s="1"/>
  <c r="F213" i="1" s="1"/>
  <c r="B214" i="1" s="1"/>
  <c r="D214" i="1" l="1"/>
  <c r="E214" i="1" s="1"/>
  <c r="F214" i="1"/>
  <c r="B215" i="1" s="1"/>
  <c r="A217" i="1"/>
  <c r="C216" i="1"/>
  <c r="A218" i="1" l="1"/>
  <c r="C217" i="1"/>
  <c r="D215" i="1"/>
  <c r="E215" i="1" s="1"/>
  <c r="F215" i="1" s="1"/>
  <c r="B216" i="1" s="1"/>
  <c r="D216" i="1" l="1"/>
  <c r="E216" i="1" s="1"/>
  <c r="F216" i="1" s="1"/>
  <c r="B217" i="1" s="1"/>
  <c r="A219" i="1"/>
  <c r="C218" i="1"/>
  <c r="D217" i="1" l="1"/>
  <c r="E217" i="1" s="1"/>
  <c r="F217" i="1" s="1"/>
  <c r="B218" i="1" s="1"/>
  <c r="C219" i="1"/>
  <c r="A220" i="1"/>
  <c r="D218" i="1" l="1"/>
  <c r="E218" i="1" s="1"/>
  <c r="F218" i="1" s="1"/>
  <c r="B219" i="1" s="1"/>
  <c r="A221" i="1"/>
  <c r="C220" i="1"/>
  <c r="D219" i="1" l="1"/>
  <c r="E219" i="1" s="1"/>
  <c r="F219" i="1" s="1"/>
  <c r="B220" i="1" s="1"/>
  <c r="A222" i="1"/>
  <c r="C221" i="1"/>
  <c r="D220" i="1" l="1"/>
  <c r="E220" i="1" s="1"/>
  <c r="F220" i="1"/>
  <c r="B221" i="1" s="1"/>
  <c r="A223" i="1"/>
  <c r="C222" i="1"/>
  <c r="D221" i="1" l="1"/>
  <c r="E221" i="1" s="1"/>
  <c r="F221" i="1" s="1"/>
  <c r="B222" i="1" s="1"/>
  <c r="C223" i="1"/>
  <c r="A224" i="1"/>
  <c r="D222" i="1" l="1"/>
  <c r="E222" i="1" s="1"/>
  <c r="F222" i="1" s="1"/>
  <c r="B223" i="1" s="1"/>
  <c r="C224" i="1"/>
  <c r="A225" i="1"/>
  <c r="D223" i="1" l="1"/>
  <c r="E223" i="1" s="1"/>
  <c r="F223" i="1" s="1"/>
  <c r="B224" i="1" s="1"/>
  <c r="A226" i="1"/>
  <c r="C225" i="1"/>
  <c r="D224" i="1" l="1"/>
  <c r="E224" i="1" s="1"/>
  <c r="F224" i="1" s="1"/>
  <c r="B225" i="1" s="1"/>
  <c r="C226" i="1"/>
  <c r="A227" i="1"/>
  <c r="D225" i="1" l="1"/>
  <c r="E225" i="1" s="1"/>
  <c r="F225" i="1" s="1"/>
  <c r="B226" i="1" s="1"/>
  <c r="C227" i="1"/>
  <c r="A228" i="1"/>
  <c r="D226" i="1" l="1"/>
  <c r="E226" i="1" s="1"/>
  <c r="F226" i="1" s="1"/>
  <c r="B227" i="1" s="1"/>
  <c r="C228" i="1"/>
  <c r="A229" i="1"/>
  <c r="D227" i="1" l="1"/>
  <c r="E227" i="1" s="1"/>
  <c r="F227" i="1" s="1"/>
  <c r="B228" i="1" s="1"/>
  <c r="A230" i="1"/>
  <c r="C229" i="1"/>
  <c r="D228" i="1" l="1"/>
  <c r="E228" i="1" s="1"/>
  <c r="F228" i="1" s="1"/>
  <c r="B229" i="1" s="1"/>
  <c r="A231" i="1"/>
  <c r="C230" i="1"/>
  <c r="D229" i="1" l="1"/>
  <c r="E229" i="1" s="1"/>
  <c r="F229" i="1" s="1"/>
  <c r="B230" i="1" s="1"/>
  <c r="C231" i="1"/>
  <c r="A232" i="1"/>
  <c r="D230" i="1" l="1"/>
  <c r="E230" i="1" s="1"/>
  <c r="F230" i="1" s="1"/>
  <c r="B231" i="1" s="1"/>
  <c r="A233" i="1"/>
  <c r="C232" i="1"/>
  <c r="D231" i="1" l="1"/>
  <c r="E231" i="1" s="1"/>
  <c r="F231" i="1" s="1"/>
  <c r="B232" i="1" s="1"/>
  <c r="A234" i="1"/>
  <c r="C233" i="1"/>
  <c r="D232" i="1" l="1"/>
  <c r="E232" i="1" s="1"/>
  <c r="F232" i="1" s="1"/>
  <c r="B233" i="1" s="1"/>
  <c r="A235" i="1"/>
  <c r="C234" i="1"/>
  <c r="D233" i="1" l="1"/>
  <c r="E233" i="1" s="1"/>
  <c r="F233" i="1" s="1"/>
  <c r="B234" i="1" s="1"/>
  <c r="C235" i="1"/>
  <c r="A236" i="1"/>
  <c r="D234" i="1" l="1"/>
  <c r="E234" i="1" s="1"/>
  <c r="F234" i="1"/>
  <c r="B235" i="1" s="1"/>
  <c r="A237" i="1"/>
  <c r="C236" i="1"/>
  <c r="D235" i="1" l="1"/>
  <c r="E235" i="1" s="1"/>
  <c r="F235" i="1" s="1"/>
  <c r="B236" i="1" s="1"/>
  <c r="A238" i="1"/>
  <c r="C237" i="1"/>
  <c r="D236" i="1" l="1"/>
  <c r="E236" i="1" s="1"/>
  <c r="F236" i="1" s="1"/>
  <c r="B237" i="1" s="1"/>
  <c r="A239" i="1"/>
  <c r="C238" i="1"/>
  <c r="D237" i="1" l="1"/>
  <c r="E237" i="1" s="1"/>
  <c r="F237" i="1" s="1"/>
  <c r="B238" i="1" s="1"/>
  <c r="C239" i="1"/>
  <c r="A240" i="1"/>
  <c r="D238" i="1" l="1"/>
  <c r="E238" i="1" s="1"/>
  <c r="F238" i="1"/>
  <c r="B239" i="1" s="1"/>
  <c r="C240" i="1"/>
  <c r="A241" i="1"/>
  <c r="A242" i="1" l="1"/>
  <c r="C241" i="1"/>
  <c r="D239" i="1"/>
  <c r="E239" i="1" s="1"/>
  <c r="F239" i="1" s="1"/>
  <c r="B240" i="1" s="1"/>
  <c r="D240" i="1" l="1"/>
  <c r="E240" i="1" s="1"/>
  <c r="F240" i="1" s="1"/>
  <c r="B241" i="1" s="1"/>
  <c r="C242" i="1"/>
  <c r="A243" i="1"/>
  <c r="D241" i="1" l="1"/>
  <c r="E241" i="1" s="1"/>
  <c r="F241" i="1" s="1"/>
  <c r="B242" i="1" s="1"/>
  <c r="C243" i="1"/>
  <c r="A244" i="1"/>
  <c r="D242" i="1" l="1"/>
  <c r="E242" i="1" s="1"/>
  <c r="F242" i="1" s="1"/>
  <c r="B243" i="1" s="1"/>
  <c r="C244" i="1"/>
  <c r="A245" i="1"/>
  <c r="D243" i="1" l="1"/>
  <c r="E243" i="1" s="1"/>
  <c r="F243" i="1" s="1"/>
  <c r="B244" i="1" s="1"/>
  <c r="A246" i="1"/>
  <c r="C245" i="1"/>
  <c r="D244" i="1" l="1"/>
  <c r="E244" i="1" s="1"/>
  <c r="F244" i="1"/>
  <c r="B245" i="1" s="1"/>
  <c r="A247" i="1"/>
  <c r="C246" i="1"/>
  <c r="C247" i="1" l="1"/>
  <c r="A248" i="1"/>
  <c r="D245" i="1"/>
  <c r="E245" i="1" s="1"/>
  <c r="F245" i="1" s="1"/>
  <c r="B246" i="1" s="1"/>
  <c r="D246" i="1" l="1"/>
  <c r="E246" i="1" s="1"/>
  <c r="F246" i="1" s="1"/>
  <c r="B247" i="1" s="1"/>
  <c r="A249" i="1"/>
  <c r="C248" i="1"/>
  <c r="D247" i="1" l="1"/>
  <c r="E247" i="1" s="1"/>
  <c r="F247" i="1" s="1"/>
  <c r="B248" i="1" s="1"/>
  <c r="A250" i="1"/>
  <c r="C249" i="1"/>
  <c r="D248" i="1" l="1"/>
  <c r="E248" i="1" s="1"/>
  <c r="F248" i="1"/>
  <c r="B249" i="1" s="1"/>
  <c r="A251" i="1"/>
  <c r="C250" i="1"/>
  <c r="D249" i="1" l="1"/>
  <c r="E249" i="1" s="1"/>
  <c r="F249" i="1" s="1"/>
  <c r="B250" i="1" s="1"/>
  <c r="C251" i="1"/>
  <c r="A252" i="1"/>
  <c r="D250" i="1" l="1"/>
  <c r="E250" i="1" s="1"/>
  <c r="F250" i="1" s="1"/>
  <c r="B251" i="1" s="1"/>
  <c r="A253" i="1"/>
  <c r="C252" i="1"/>
  <c r="D251" i="1" l="1"/>
  <c r="E251" i="1" s="1"/>
  <c r="F251" i="1" s="1"/>
  <c r="B252" i="1" s="1"/>
  <c r="A254" i="1"/>
  <c r="C253" i="1"/>
  <c r="D252" i="1" l="1"/>
  <c r="E252" i="1" s="1"/>
  <c r="F252" i="1" s="1"/>
  <c r="B253" i="1" s="1"/>
  <c r="A255" i="1"/>
  <c r="C254" i="1"/>
  <c r="D253" i="1" l="1"/>
  <c r="E253" i="1" s="1"/>
  <c r="F253" i="1" s="1"/>
  <c r="B254" i="1" s="1"/>
  <c r="C255" i="1"/>
  <c r="A256" i="1"/>
  <c r="D254" i="1" l="1"/>
  <c r="E254" i="1" s="1"/>
  <c r="F254" i="1" s="1"/>
  <c r="B255" i="1" s="1"/>
  <c r="C256" i="1"/>
  <c r="A257" i="1"/>
  <c r="D255" i="1" l="1"/>
  <c r="E255" i="1" s="1"/>
  <c r="F255" i="1" s="1"/>
  <c r="B256" i="1" s="1"/>
  <c r="A258" i="1"/>
  <c r="C257" i="1"/>
  <c r="D256" i="1" l="1"/>
  <c r="E256" i="1" s="1"/>
  <c r="F256" i="1" s="1"/>
  <c r="B257" i="1" s="1"/>
  <c r="C258" i="1"/>
  <c r="A259" i="1"/>
  <c r="D257" i="1" l="1"/>
  <c r="E257" i="1" s="1"/>
  <c r="F257" i="1" s="1"/>
  <c r="B258" i="1" s="1"/>
  <c r="C259" i="1"/>
  <c r="A260" i="1"/>
  <c r="D258" i="1" l="1"/>
  <c r="E258" i="1" s="1"/>
  <c r="F258" i="1"/>
  <c r="B259" i="1" s="1"/>
  <c r="C260" i="1"/>
  <c r="A261" i="1"/>
  <c r="A262" i="1" l="1"/>
  <c r="C261" i="1"/>
  <c r="D259" i="1"/>
  <c r="E259" i="1" s="1"/>
  <c r="F259" i="1" s="1"/>
  <c r="B260" i="1" s="1"/>
  <c r="A263" i="1" l="1"/>
  <c r="C262" i="1"/>
  <c r="D260" i="1"/>
  <c r="E260" i="1" s="1"/>
  <c r="F260" i="1" s="1"/>
  <c r="B261" i="1" s="1"/>
  <c r="D261" i="1" l="1"/>
  <c r="E261" i="1" s="1"/>
  <c r="F261" i="1" s="1"/>
  <c r="B262" i="1" s="1"/>
  <c r="C263" i="1"/>
  <c r="A264" i="1"/>
  <c r="D262" i="1" l="1"/>
  <c r="E262" i="1" s="1"/>
  <c r="F262" i="1" s="1"/>
  <c r="B263" i="1" s="1"/>
  <c r="A265" i="1"/>
  <c r="C264" i="1"/>
  <c r="D263" i="1" l="1"/>
  <c r="E263" i="1" s="1"/>
  <c r="F263" i="1" s="1"/>
  <c r="B264" i="1" s="1"/>
  <c r="A266" i="1"/>
  <c r="C265" i="1"/>
  <c r="D264" i="1" l="1"/>
  <c r="E264" i="1" s="1"/>
  <c r="F264" i="1" s="1"/>
  <c r="B265" i="1" s="1"/>
  <c r="A267" i="1"/>
  <c r="C266" i="1"/>
  <c r="D265" i="1" l="1"/>
  <c r="E265" i="1" s="1"/>
  <c r="F265" i="1" s="1"/>
  <c r="B266" i="1" s="1"/>
  <c r="C267" i="1"/>
  <c r="A268" i="1"/>
  <c r="D266" i="1" l="1"/>
  <c r="E266" i="1" s="1"/>
  <c r="F266" i="1" s="1"/>
  <c r="B267" i="1" s="1"/>
  <c r="A269" i="1"/>
  <c r="C268" i="1"/>
  <c r="D267" i="1" l="1"/>
  <c r="E267" i="1" s="1"/>
  <c r="F267" i="1" s="1"/>
  <c r="B268" i="1" s="1"/>
  <c r="A270" i="1"/>
  <c r="C269" i="1"/>
  <c r="D268" i="1" l="1"/>
  <c r="E268" i="1" s="1"/>
  <c r="F268" i="1"/>
  <c r="B269" i="1" s="1"/>
  <c r="A271" i="1"/>
  <c r="C270" i="1"/>
  <c r="C271" i="1" l="1"/>
  <c r="A272" i="1"/>
  <c r="D269" i="1"/>
  <c r="E269" i="1" s="1"/>
  <c r="F269" i="1" s="1"/>
  <c r="B270" i="1" s="1"/>
  <c r="D270" i="1" l="1"/>
  <c r="E270" i="1" s="1"/>
  <c r="F270" i="1" s="1"/>
  <c r="B271" i="1" s="1"/>
  <c r="C272" i="1"/>
  <c r="A273" i="1"/>
  <c r="D271" i="1" l="1"/>
  <c r="E271" i="1" s="1"/>
  <c r="F271" i="1" s="1"/>
  <c r="B272" i="1" s="1"/>
  <c r="A274" i="1"/>
  <c r="C273" i="1"/>
  <c r="D272" i="1" l="1"/>
  <c r="E272" i="1" s="1"/>
  <c r="F272" i="1" s="1"/>
  <c r="B273" i="1" s="1"/>
  <c r="C274" i="1"/>
  <c r="A275" i="1"/>
  <c r="D273" i="1" l="1"/>
  <c r="E273" i="1" s="1"/>
  <c r="F273" i="1" s="1"/>
  <c r="B274" i="1" s="1"/>
  <c r="C275" i="1"/>
  <c r="A276" i="1"/>
  <c r="D274" i="1" l="1"/>
  <c r="E274" i="1" s="1"/>
  <c r="F274" i="1" s="1"/>
  <c r="B275" i="1" s="1"/>
  <c r="C276" i="1"/>
  <c r="A277" i="1"/>
  <c r="D275" i="1" l="1"/>
  <c r="E275" i="1" s="1"/>
  <c r="F275" i="1" s="1"/>
  <c r="B276" i="1" s="1"/>
  <c r="A278" i="1"/>
  <c r="C277" i="1"/>
  <c r="D276" i="1" l="1"/>
  <c r="E276" i="1" s="1"/>
  <c r="F276" i="1" s="1"/>
  <c r="B277" i="1" s="1"/>
  <c r="A279" i="1"/>
  <c r="C278" i="1"/>
  <c r="D277" i="1" l="1"/>
  <c r="E277" i="1" s="1"/>
  <c r="F277" i="1" s="1"/>
  <c r="B278" i="1" s="1"/>
  <c r="C279" i="1"/>
  <c r="A280" i="1"/>
  <c r="D278" i="1" l="1"/>
  <c r="E278" i="1" s="1"/>
  <c r="F278" i="1" s="1"/>
  <c r="B279" i="1" s="1"/>
  <c r="A281" i="1"/>
  <c r="C280" i="1"/>
  <c r="D279" i="1" l="1"/>
  <c r="E279" i="1" s="1"/>
  <c r="F279" i="1" s="1"/>
  <c r="B280" i="1" s="1"/>
  <c r="A282" i="1"/>
  <c r="C281" i="1"/>
  <c r="D280" i="1" l="1"/>
  <c r="E280" i="1" s="1"/>
  <c r="F280" i="1" s="1"/>
  <c r="B281" i="1" s="1"/>
  <c r="A283" i="1"/>
  <c r="C282" i="1"/>
  <c r="D281" i="1" l="1"/>
  <c r="E281" i="1" s="1"/>
  <c r="F281" i="1" s="1"/>
  <c r="B282" i="1" s="1"/>
  <c r="C283" i="1"/>
  <c r="A284" i="1"/>
  <c r="D282" i="1" l="1"/>
  <c r="E282" i="1" s="1"/>
  <c r="F282" i="1" s="1"/>
  <c r="B283" i="1" s="1"/>
  <c r="A285" i="1"/>
  <c r="C284" i="1"/>
  <c r="D283" i="1" l="1"/>
  <c r="E283" i="1" s="1"/>
  <c r="F283" i="1" s="1"/>
  <c r="B284" i="1" s="1"/>
  <c r="A286" i="1"/>
  <c r="C285" i="1"/>
  <c r="D284" i="1" l="1"/>
  <c r="E284" i="1" s="1"/>
  <c r="F284" i="1" s="1"/>
  <c r="B285" i="1" s="1"/>
  <c r="A287" i="1"/>
  <c r="C286" i="1"/>
  <c r="D285" i="1" l="1"/>
  <c r="E285" i="1" s="1"/>
  <c r="F285" i="1" s="1"/>
  <c r="B286" i="1" s="1"/>
  <c r="C287" i="1"/>
  <c r="A288" i="1"/>
  <c r="D286" i="1" l="1"/>
  <c r="E286" i="1" s="1"/>
  <c r="F286" i="1" s="1"/>
  <c r="B287" i="1" s="1"/>
  <c r="C288" i="1"/>
  <c r="A289" i="1"/>
  <c r="D287" i="1" l="1"/>
  <c r="E287" i="1" s="1"/>
  <c r="F287" i="1" s="1"/>
  <c r="B288" i="1" s="1"/>
  <c r="A290" i="1"/>
  <c r="C289" i="1"/>
  <c r="D288" i="1" l="1"/>
  <c r="E288" i="1" s="1"/>
  <c r="F288" i="1" s="1"/>
  <c r="B289" i="1" s="1"/>
  <c r="C290" i="1"/>
  <c r="A291" i="1"/>
  <c r="C291" i="1" l="1"/>
  <c r="A292" i="1"/>
  <c r="D289" i="1"/>
  <c r="E289" i="1" s="1"/>
  <c r="F289" i="1" s="1"/>
  <c r="B290" i="1" s="1"/>
  <c r="D290" i="1" l="1"/>
  <c r="E290" i="1" s="1"/>
  <c r="F290" i="1" s="1"/>
  <c r="B291" i="1" s="1"/>
  <c r="C292" i="1"/>
  <c r="A293" i="1"/>
  <c r="D291" i="1" l="1"/>
  <c r="E291" i="1" s="1"/>
  <c r="F291" i="1" s="1"/>
  <c r="B292" i="1" s="1"/>
  <c r="A294" i="1"/>
  <c r="C293" i="1"/>
  <c r="D292" i="1" l="1"/>
  <c r="E292" i="1" s="1"/>
  <c r="F292" i="1" s="1"/>
  <c r="B293" i="1" s="1"/>
  <c r="A295" i="1"/>
  <c r="C294" i="1"/>
  <c r="D293" i="1" l="1"/>
  <c r="E293" i="1" s="1"/>
  <c r="F293" i="1" s="1"/>
  <c r="B294" i="1" s="1"/>
  <c r="C295" i="1"/>
  <c r="A296" i="1"/>
  <c r="D294" i="1" l="1"/>
  <c r="E294" i="1" s="1"/>
  <c r="F294" i="1" s="1"/>
  <c r="B295" i="1" s="1"/>
  <c r="A297" i="1"/>
  <c r="C296" i="1"/>
  <c r="D295" i="1" l="1"/>
  <c r="E295" i="1" s="1"/>
  <c r="F295" i="1" s="1"/>
  <c r="B296" i="1" s="1"/>
  <c r="A298" i="1"/>
  <c r="C297" i="1"/>
  <c r="D296" i="1" l="1"/>
  <c r="E296" i="1" s="1"/>
  <c r="F296" i="1" s="1"/>
  <c r="B297" i="1" s="1"/>
  <c r="A299" i="1"/>
  <c r="C298" i="1"/>
  <c r="D297" i="1" l="1"/>
  <c r="E297" i="1" s="1"/>
  <c r="F297" i="1" s="1"/>
  <c r="B298" i="1" s="1"/>
  <c r="C299" i="1"/>
  <c r="A300" i="1"/>
  <c r="D298" i="1" l="1"/>
  <c r="E298" i="1" s="1"/>
  <c r="F298" i="1" s="1"/>
  <c r="B299" i="1" s="1"/>
  <c r="A301" i="1"/>
  <c r="C300" i="1"/>
  <c r="D299" i="1" l="1"/>
  <c r="E299" i="1" s="1"/>
  <c r="F299" i="1"/>
  <c r="B300" i="1" s="1"/>
  <c r="A302" i="1"/>
  <c r="C301" i="1"/>
  <c r="A303" i="1" l="1"/>
  <c r="C302" i="1"/>
  <c r="D300" i="1"/>
  <c r="E300" i="1" s="1"/>
  <c r="F300" i="1" s="1"/>
  <c r="B301" i="1" s="1"/>
  <c r="D301" i="1" l="1"/>
  <c r="E301" i="1" s="1"/>
  <c r="F301" i="1" s="1"/>
  <c r="B302" i="1" s="1"/>
  <c r="C303" i="1"/>
  <c r="A304" i="1"/>
  <c r="D302" i="1" l="1"/>
  <c r="E302" i="1" s="1"/>
  <c r="F302" i="1" s="1"/>
  <c r="B303" i="1" s="1"/>
  <c r="C304" i="1"/>
  <c r="A305" i="1"/>
  <c r="D303" i="1" l="1"/>
  <c r="E303" i="1" s="1"/>
  <c r="F303" i="1" s="1"/>
  <c r="B304" i="1" s="1"/>
  <c r="A306" i="1"/>
  <c r="C305" i="1"/>
  <c r="D304" i="1" l="1"/>
  <c r="E304" i="1" s="1"/>
  <c r="F304" i="1" s="1"/>
  <c r="B305" i="1" s="1"/>
  <c r="C306" i="1"/>
  <c r="A307" i="1"/>
  <c r="D305" i="1" l="1"/>
  <c r="E305" i="1" s="1"/>
  <c r="F305" i="1" s="1"/>
  <c r="B306" i="1" s="1"/>
  <c r="C307" i="1"/>
  <c r="A308" i="1"/>
  <c r="D306" i="1" l="1"/>
  <c r="E306" i="1" s="1"/>
  <c r="F306" i="1" s="1"/>
  <c r="B307" i="1" s="1"/>
  <c r="C308" i="1"/>
  <c r="A309" i="1"/>
  <c r="D307" i="1" l="1"/>
  <c r="E307" i="1" s="1"/>
  <c r="F307" i="1"/>
  <c r="B308" i="1" s="1"/>
  <c r="A310" i="1"/>
  <c r="C309" i="1"/>
  <c r="A311" i="1" l="1"/>
  <c r="C310" i="1"/>
  <c r="D308" i="1"/>
  <c r="E308" i="1" s="1"/>
  <c r="F308" i="1" s="1"/>
  <c r="B309" i="1" s="1"/>
  <c r="D309" i="1" l="1"/>
  <c r="E309" i="1" s="1"/>
  <c r="F309" i="1" s="1"/>
  <c r="B310" i="1" s="1"/>
  <c r="C311" i="1"/>
  <c r="D310" i="1" l="1"/>
  <c r="E310" i="1" s="1"/>
  <c r="F310" i="1" s="1"/>
  <c r="B311" i="1" s="1"/>
  <c r="D311" i="1" l="1"/>
  <c r="E311" i="1" s="1"/>
  <c r="F311" i="1" s="1"/>
</calcChain>
</file>

<file path=xl/sharedStrings.xml><?xml version="1.0" encoding="utf-8"?>
<sst xmlns="http://schemas.openxmlformats.org/spreadsheetml/2006/main" count="13" uniqueCount="13">
  <si>
    <t>LOAN AMORTIZATION MODEL</t>
  </si>
  <si>
    <t>Loan Amount</t>
  </si>
  <si>
    <t>Annual Interest Rate</t>
  </si>
  <si>
    <t>Loan Term (Years)</t>
  </si>
  <si>
    <t>Payments per Year</t>
  </si>
  <si>
    <t>Monthly Payment</t>
  </si>
  <si>
    <t>Total Payments</t>
  </si>
  <si>
    <t>Payment #</t>
  </si>
  <si>
    <t>Beginning Balance</t>
  </si>
  <si>
    <t>Payment</t>
  </si>
  <si>
    <t>Interest</t>
  </si>
  <si>
    <t>Principal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</si>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</sst>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0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Views>
    <sheetView tabSelected="1" workbookViewId="0">
      <pane ySplit="11" topLeftCell="A12" activePane="bottomLeft" state="frozen"/>
      <selection pane="bottomLeft" activeCell="D7" sqref="D7"/>
    </sheetView>
  </sheetViews>
  <sheetFormatPr defaultRowHeight="14.5"/>
  <cols>
    <col min="1" max="1" width="18.26953125" bestFit="1" customWidth="1"/>
    <col min="2" max="2" width="20" customWidth="1"/>
    <col min="3" max="5" width="15" customWidth="1"/>
    <col min="6" max="6" width="20" customWidth="1"/>
  </cols>
  <sheetData>
    <row r="1" spans="1:6" ht="21">
      <c r="A1" s="7" t="s">
        <v>0</v>
      </c>
      <c r="B1" s="8"/>
      <c r="C1" s="8"/>
      <c r="D1" s="8"/>
      <c r="E1" s="8"/>
    </row>
    <row r="3" spans="1:6">
      <c r="A3" s="1" t="s">
        <v>1</v>
      </c>
      <c r="B3" s="9">
        <v>35000</v>
      </c>
    </row>
    <row r="4" spans="1:6">
      <c r="A4" s="1" t="s">
        <v>2</v>
      </c>
      <c r="B4" s="2">
        <v>4.4999999999999998E-2</v>
      </c>
    </row>
    <row r="5" spans="1:6">
      <c r="A5" s="1" t="s">
        <v>3</v>
      </c>
      <c r="B5">
        <v>14</v>
      </c>
    </row>
    <row r="6" spans="1:6">
      <c r="A6" s="1" t="s">
        <v>4</v>
      </c>
      <c r="B6">
        <v>12</v>
      </c>
    </row>
    <row r="8" spans="1:6">
      <c r="A8" s="1" t="s">
        <v>5</v>
      </c>
      <c r="B8" s="3">
        <f>PMT(B4/B6,B5*B6,-B3)</f>
        <v>281.18154828615945</v>
      </c>
    </row>
    <row r="9" spans="1:6">
      <c r="A9" s="1" t="s">
        <v>6</v>
      </c>
      <c r="B9">
        <f>B5*B6</f>
        <v>168</v>
      </c>
    </row>
    <row r="11" spans="1:6">
      <c r="A11" s="4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</row>
    <row r="12" spans="1:6">
      <c r="A12" s="5">
        <v>1</v>
      </c>
      <c r="B12" s="6">
        <f>$B$3</f>
        <v>35000</v>
      </c>
      <c r="C12" s="6">
        <f t="shared" ref="C12:C75" si="0">IF(A12="","",$B$8)</f>
        <v>281.18154828615945</v>
      </c>
      <c r="D12" s="6">
        <f t="shared" ref="D12:D75" si="1">IF(A12="","",B12*$B$4/$B$6)</f>
        <v>131.25</v>
      </c>
      <c r="E12" s="6">
        <f t="shared" ref="E12:E75" si="2">IF(A12="","",C12-D12)</f>
        <v>149.93154828615945</v>
      </c>
      <c r="F12" s="6">
        <f t="shared" ref="F12:F75" si="3">IF(A12="","",B12-E12)</f>
        <v>34850.068451713843</v>
      </c>
    </row>
    <row r="13" spans="1:6">
      <c r="A13" s="5">
        <f t="shared" ref="A13:A76" si="4">IF(A12&lt;$B$9,A12+1,IF(ROW()=12,1,""))</f>
        <v>2</v>
      </c>
      <c r="B13" s="6">
        <f t="shared" ref="B13:B76" si="5">IF(A13="","",F12)</f>
        <v>34850.068451713843</v>
      </c>
      <c r="C13" s="6">
        <f t="shared" si="0"/>
        <v>281.18154828615945</v>
      </c>
      <c r="D13" s="6">
        <f t="shared" si="1"/>
        <v>130.6877566939269</v>
      </c>
      <c r="E13" s="6">
        <f t="shared" si="2"/>
        <v>150.49379159223255</v>
      </c>
      <c r="F13" s="6">
        <f t="shared" si="3"/>
        <v>34699.574660121609</v>
      </c>
    </row>
    <row r="14" spans="1:6">
      <c r="A14" s="5">
        <f t="shared" si="4"/>
        <v>3</v>
      </c>
      <c r="B14" s="6">
        <f t="shared" si="5"/>
        <v>34699.574660121609</v>
      </c>
      <c r="C14" s="6">
        <f t="shared" si="0"/>
        <v>281.18154828615945</v>
      </c>
      <c r="D14" s="6">
        <f t="shared" si="1"/>
        <v>130.12340497545603</v>
      </c>
      <c r="E14" s="6">
        <f t="shared" si="2"/>
        <v>151.05814331070343</v>
      </c>
      <c r="F14" s="6">
        <f t="shared" si="3"/>
        <v>34548.516516810909</v>
      </c>
    </row>
    <row r="15" spans="1:6">
      <c r="A15" s="5">
        <f t="shared" si="4"/>
        <v>4</v>
      </c>
      <c r="B15" s="6">
        <f t="shared" si="5"/>
        <v>34548.516516810909</v>
      </c>
      <c r="C15" s="6">
        <f t="shared" si="0"/>
        <v>281.18154828615945</v>
      </c>
      <c r="D15" s="6">
        <f t="shared" si="1"/>
        <v>129.55693693804091</v>
      </c>
      <c r="E15" s="6">
        <f t="shared" si="2"/>
        <v>151.62461134811855</v>
      </c>
      <c r="F15" s="6">
        <f t="shared" si="3"/>
        <v>34396.891905462791</v>
      </c>
    </row>
    <row r="16" spans="1:6">
      <c r="A16" s="5">
        <f t="shared" si="4"/>
        <v>5</v>
      </c>
      <c r="B16" s="6">
        <f t="shared" si="5"/>
        <v>34396.891905462791</v>
      </c>
      <c r="C16" s="6">
        <f t="shared" si="0"/>
        <v>281.18154828615945</v>
      </c>
      <c r="D16" s="6">
        <f t="shared" si="1"/>
        <v>128.98834464548545</v>
      </c>
      <c r="E16" s="6">
        <f t="shared" si="2"/>
        <v>152.193203640674</v>
      </c>
      <c r="F16" s="6">
        <f t="shared" si="3"/>
        <v>34244.698701822119</v>
      </c>
    </row>
    <row r="17" spans="1:6">
      <c r="A17" s="5">
        <f t="shared" si="4"/>
        <v>6</v>
      </c>
      <c r="B17" s="6">
        <f t="shared" si="5"/>
        <v>34244.698701822119</v>
      </c>
      <c r="C17" s="6">
        <f t="shared" si="0"/>
        <v>281.18154828615945</v>
      </c>
      <c r="D17" s="6">
        <f t="shared" si="1"/>
        <v>128.41762013183293</v>
      </c>
      <c r="E17" s="6">
        <f t="shared" si="2"/>
        <v>152.76392815432652</v>
      </c>
      <c r="F17" s="6">
        <f t="shared" si="3"/>
        <v>34091.934773667796</v>
      </c>
    </row>
    <row r="18" spans="1:6">
      <c r="A18" s="5">
        <f t="shared" si="4"/>
        <v>7</v>
      </c>
      <c r="B18" s="6">
        <f t="shared" si="5"/>
        <v>34091.934773667796</v>
      </c>
      <c r="C18" s="6">
        <f t="shared" si="0"/>
        <v>281.18154828615945</v>
      </c>
      <c r="D18" s="6">
        <f t="shared" si="1"/>
        <v>127.84475540125423</v>
      </c>
      <c r="E18" s="6">
        <f t="shared" si="2"/>
        <v>153.33679288490521</v>
      </c>
      <c r="F18" s="6">
        <f t="shared" si="3"/>
        <v>33938.597980782892</v>
      </c>
    </row>
    <row r="19" spans="1:6">
      <c r="A19" s="5">
        <f t="shared" si="4"/>
        <v>8</v>
      </c>
      <c r="B19" s="6">
        <f t="shared" si="5"/>
        <v>33938.597980782892</v>
      </c>
      <c r="C19" s="6">
        <f t="shared" si="0"/>
        <v>281.18154828615945</v>
      </c>
      <c r="D19" s="6">
        <f t="shared" si="1"/>
        <v>127.26974242793584</v>
      </c>
      <c r="E19" s="6">
        <f t="shared" si="2"/>
        <v>153.9118058582236</v>
      </c>
      <c r="F19" s="6">
        <f t="shared" si="3"/>
        <v>33784.686174924667</v>
      </c>
    </row>
    <row r="20" spans="1:6">
      <c r="A20" s="5">
        <f t="shared" si="4"/>
        <v>9</v>
      </c>
      <c r="B20" s="6">
        <f t="shared" si="5"/>
        <v>33784.686174924667</v>
      </c>
      <c r="C20" s="6">
        <f t="shared" si="0"/>
        <v>281.18154828615945</v>
      </c>
      <c r="D20" s="6">
        <f t="shared" si="1"/>
        <v>126.69257315596751</v>
      </c>
      <c r="E20" s="6">
        <f t="shared" si="2"/>
        <v>154.48897513019193</v>
      </c>
      <c r="F20" s="6">
        <f t="shared" si="3"/>
        <v>33630.197199794478</v>
      </c>
    </row>
    <row r="21" spans="1:6">
      <c r="A21" s="5">
        <f t="shared" si="4"/>
        <v>10</v>
      </c>
      <c r="B21" s="6">
        <f t="shared" si="5"/>
        <v>33630.197199794478</v>
      </c>
      <c r="C21" s="6">
        <f t="shared" si="0"/>
        <v>281.18154828615945</v>
      </c>
      <c r="D21" s="6">
        <f t="shared" si="1"/>
        <v>126.11323949922928</v>
      </c>
      <c r="E21" s="6">
        <f t="shared" si="2"/>
        <v>155.06830878693017</v>
      </c>
      <c r="F21" s="6">
        <f t="shared" si="3"/>
        <v>33475.128891007545</v>
      </c>
    </row>
    <row r="22" spans="1:6">
      <c r="A22" s="5">
        <f t="shared" si="4"/>
        <v>11</v>
      </c>
      <c r="B22" s="6">
        <f t="shared" si="5"/>
        <v>33475.128891007545</v>
      </c>
      <c r="C22" s="6">
        <f t="shared" si="0"/>
        <v>281.18154828615945</v>
      </c>
      <c r="D22" s="6">
        <f t="shared" si="1"/>
        <v>125.5317333412783</v>
      </c>
      <c r="E22" s="6">
        <f t="shared" si="2"/>
        <v>155.64981494488114</v>
      </c>
      <c r="F22" s="6">
        <f t="shared" si="3"/>
        <v>33319.479076062664</v>
      </c>
    </row>
    <row r="23" spans="1:6">
      <c r="A23" s="5">
        <f t="shared" si="4"/>
        <v>12</v>
      </c>
      <c r="B23" s="6">
        <f t="shared" si="5"/>
        <v>33319.479076062664</v>
      </c>
      <c r="C23" s="6">
        <f t="shared" si="0"/>
        <v>281.18154828615945</v>
      </c>
      <c r="D23" s="6">
        <f t="shared" si="1"/>
        <v>124.94804653523499</v>
      </c>
      <c r="E23" s="6">
        <f t="shared" si="2"/>
        <v>156.23350175092446</v>
      </c>
      <c r="F23" s="6">
        <f t="shared" si="3"/>
        <v>33163.245574311739</v>
      </c>
    </row>
    <row r="24" spans="1:6">
      <c r="A24" s="5">
        <f t="shared" si="4"/>
        <v>13</v>
      </c>
      <c r="B24" s="6">
        <f t="shared" si="5"/>
        <v>33163.245574311739</v>
      </c>
      <c r="C24" s="6">
        <f t="shared" si="0"/>
        <v>281.18154828615945</v>
      </c>
      <c r="D24" s="6">
        <f t="shared" si="1"/>
        <v>124.36217090366902</v>
      </c>
      <c r="E24" s="6">
        <f t="shared" si="2"/>
        <v>156.81937738249042</v>
      </c>
      <c r="F24" s="6">
        <f t="shared" si="3"/>
        <v>33006.426196929249</v>
      </c>
    </row>
    <row r="25" spans="1:6">
      <c r="A25" s="5">
        <f t="shared" si="4"/>
        <v>14</v>
      </c>
      <c r="B25" s="6">
        <f t="shared" si="5"/>
        <v>33006.426196929249</v>
      </c>
      <c r="C25" s="6">
        <f t="shared" si="0"/>
        <v>281.18154828615945</v>
      </c>
      <c r="D25" s="6">
        <f t="shared" si="1"/>
        <v>123.77409823848468</v>
      </c>
      <c r="E25" s="6">
        <f t="shared" si="2"/>
        <v>157.40745004767479</v>
      </c>
      <c r="F25" s="6">
        <f t="shared" si="3"/>
        <v>32849.018746881571</v>
      </c>
    </row>
    <row r="26" spans="1:6">
      <c r="A26" s="5">
        <f t="shared" si="4"/>
        <v>15</v>
      </c>
      <c r="B26" s="6">
        <f t="shared" si="5"/>
        <v>32849.018746881571</v>
      </c>
      <c r="C26" s="6">
        <f t="shared" si="0"/>
        <v>281.18154828615945</v>
      </c>
      <c r="D26" s="6">
        <f t="shared" si="1"/>
        <v>123.18382030080589</v>
      </c>
      <c r="E26" s="6">
        <f t="shared" si="2"/>
        <v>157.99772798535355</v>
      </c>
      <c r="F26" s="6">
        <f t="shared" si="3"/>
        <v>32691.021018896219</v>
      </c>
    </row>
    <row r="27" spans="1:6">
      <c r="A27" s="5">
        <f t="shared" si="4"/>
        <v>16</v>
      </c>
      <c r="B27" s="6">
        <f t="shared" si="5"/>
        <v>32691.021018896219</v>
      </c>
      <c r="C27" s="6">
        <f t="shared" si="0"/>
        <v>281.18154828615945</v>
      </c>
      <c r="D27" s="6">
        <f t="shared" si="1"/>
        <v>122.59132882086082</v>
      </c>
      <c r="E27" s="6">
        <f t="shared" si="2"/>
        <v>158.59021946529862</v>
      </c>
      <c r="F27" s="6">
        <f t="shared" si="3"/>
        <v>32532.43079943092</v>
      </c>
    </row>
    <row r="28" spans="1:6">
      <c r="A28" s="5">
        <f t="shared" si="4"/>
        <v>17</v>
      </c>
      <c r="B28" s="6">
        <f t="shared" si="5"/>
        <v>32532.43079943092</v>
      </c>
      <c r="C28" s="6">
        <f t="shared" si="0"/>
        <v>281.18154828615945</v>
      </c>
      <c r="D28" s="6">
        <f t="shared" si="1"/>
        <v>121.99661549786595</v>
      </c>
      <c r="E28" s="6">
        <f t="shared" si="2"/>
        <v>159.18493278829351</v>
      </c>
      <c r="F28" s="6">
        <f t="shared" si="3"/>
        <v>32373.245866642628</v>
      </c>
    </row>
    <row r="29" spans="1:6">
      <c r="A29" s="5">
        <f t="shared" si="4"/>
        <v>18</v>
      </c>
      <c r="B29" s="6">
        <f t="shared" si="5"/>
        <v>32373.245866642628</v>
      </c>
      <c r="C29" s="6">
        <f t="shared" si="0"/>
        <v>281.18154828615945</v>
      </c>
      <c r="D29" s="6">
        <f t="shared" si="1"/>
        <v>121.39967199990986</v>
      </c>
      <c r="E29" s="6">
        <f t="shared" si="2"/>
        <v>159.7818762862496</v>
      </c>
      <c r="F29" s="6">
        <f t="shared" si="3"/>
        <v>32213.46399035638</v>
      </c>
    </row>
    <row r="30" spans="1:6">
      <c r="A30" s="5">
        <f t="shared" si="4"/>
        <v>19</v>
      </c>
      <c r="B30" s="6">
        <f t="shared" si="5"/>
        <v>32213.46399035638</v>
      </c>
      <c r="C30" s="6">
        <f t="shared" si="0"/>
        <v>281.18154828615945</v>
      </c>
      <c r="D30" s="6">
        <f t="shared" si="1"/>
        <v>120.80048996383641</v>
      </c>
      <c r="E30" s="6">
        <f t="shared" si="2"/>
        <v>160.38105832232304</v>
      </c>
      <c r="F30" s="6">
        <f t="shared" si="3"/>
        <v>32053.082932034056</v>
      </c>
    </row>
    <row r="31" spans="1:6">
      <c r="A31" s="5">
        <f t="shared" si="4"/>
        <v>20</v>
      </c>
      <c r="B31" s="6">
        <f t="shared" si="5"/>
        <v>32053.082932034056</v>
      </c>
      <c r="C31" s="6">
        <f t="shared" si="0"/>
        <v>281.18154828615945</v>
      </c>
      <c r="D31" s="6">
        <f t="shared" si="1"/>
        <v>120.19906099512771</v>
      </c>
      <c r="E31" s="6">
        <f t="shared" si="2"/>
        <v>160.98248729103176</v>
      </c>
      <c r="F31" s="6">
        <f t="shared" si="3"/>
        <v>31892.100444743024</v>
      </c>
    </row>
    <row r="32" spans="1:6">
      <c r="A32" s="5">
        <f t="shared" si="4"/>
        <v>21</v>
      </c>
      <c r="B32" s="6">
        <f t="shared" si="5"/>
        <v>31892.100444743024</v>
      </c>
      <c r="C32" s="6">
        <f t="shared" si="0"/>
        <v>281.18154828615945</v>
      </c>
      <c r="D32" s="6">
        <f t="shared" si="1"/>
        <v>119.59537666778634</v>
      </c>
      <c r="E32" s="6">
        <f t="shared" si="2"/>
        <v>161.5861716183731</v>
      </c>
      <c r="F32" s="6">
        <f t="shared" si="3"/>
        <v>31730.514273124652</v>
      </c>
    </row>
    <row r="33" spans="1:6">
      <c r="A33" s="5">
        <f t="shared" si="4"/>
        <v>22</v>
      </c>
      <c r="B33" s="6">
        <f t="shared" si="5"/>
        <v>31730.514273124652</v>
      </c>
      <c r="C33" s="6">
        <f t="shared" si="0"/>
        <v>281.18154828615945</v>
      </c>
      <c r="D33" s="6">
        <f t="shared" si="1"/>
        <v>118.98942852421744</v>
      </c>
      <c r="E33" s="6">
        <f t="shared" si="2"/>
        <v>162.19211976194202</v>
      </c>
      <c r="F33" s="6">
        <f t="shared" si="3"/>
        <v>31568.322153362711</v>
      </c>
    </row>
    <row r="34" spans="1:6">
      <c r="A34" s="5">
        <f t="shared" si="4"/>
        <v>23</v>
      </c>
      <c r="B34" s="6">
        <f t="shared" si="5"/>
        <v>31568.322153362711</v>
      </c>
      <c r="C34" s="6">
        <f t="shared" si="0"/>
        <v>281.18154828615945</v>
      </c>
      <c r="D34" s="6">
        <f t="shared" si="1"/>
        <v>118.38120807511017</v>
      </c>
      <c r="E34" s="6">
        <f t="shared" si="2"/>
        <v>162.80034021104927</v>
      </c>
      <c r="F34" s="6">
        <f t="shared" si="3"/>
        <v>31405.521813151663</v>
      </c>
    </row>
    <row r="35" spans="1:6">
      <c r="A35" s="5">
        <f t="shared" si="4"/>
        <v>24</v>
      </c>
      <c r="B35" s="6">
        <f t="shared" si="5"/>
        <v>31405.521813151663</v>
      </c>
      <c r="C35" s="6">
        <f t="shared" si="0"/>
        <v>281.18154828615945</v>
      </c>
      <c r="D35" s="6">
        <f t="shared" si="1"/>
        <v>117.77070679931875</v>
      </c>
      <c r="E35" s="6">
        <f t="shared" si="2"/>
        <v>163.4108414868407</v>
      </c>
      <c r="F35" s="6">
        <f t="shared" si="3"/>
        <v>31242.110971664821</v>
      </c>
    </row>
    <row r="36" spans="1:6">
      <c r="A36" s="5">
        <f t="shared" si="4"/>
        <v>25</v>
      </c>
      <c r="B36" s="6">
        <f t="shared" si="5"/>
        <v>31242.110971664821</v>
      </c>
      <c r="C36" s="6">
        <f t="shared" si="0"/>
        <v>281.18154828615945</v>
      </c>
      <c r="D36" s="6">
        <f t="shared" si="1"/>
        <v>117.15791614374308</v>
      </c>
      <c r="E36" s="6">
        <f t="shared" si="2"/>
        <v>164.02363214241637</v>
      </c>
      <c r="F36" s="6">
        <f t="shared" si="3"/>
        <v>31078.087339522404</v>
      </c>
    </row>
    <row r="37" spans="1:6">
      <c r="A37" s="5">
        <f t="shared" si="4"/>
        <v>26</v>
      </c>
      <c r="B37" s="6">
        <f t="shared" si="5"/>
        <v>31078.087339522404</v>
      </c>
      <c r="C37" s="6">
        <f t="shared" si="0"/>
        <v>281.18154828615945</v>
      </c>
      <c r="D37" s="6">
        <f t="shared" si="1"/>
        <v>116.542827523209</v>
      </c>
      <c r="E37" s="6">
        <f t="shared" si="2"/>
        <v>164.63872076295047</v>
      </c>
      <c r="F37" s="6">
        <f t="shared" si="3"/>
        <v>30913.448618759452</v>
      </c>
    </row>
    <row r="38" spans="1:6">
      <c r="A38" s="5">
        <f t="shared" si="4"/>
        <v>27</v>
      </c>
      <c r="B38" s="6">
        <f t="shared" si="5"/>
        <v>30913.448618759452</v>
      </c>
      <c r="C38" s="6">
        <f t="shared" si="0"/>
        <v>281.18154828615945</v>
      </c>
      <c r="D38" s="6">
        <f t="shared" si="1"/>
        <v>115.92543232034795</v>
      </c>
      <c r="E38" s="6">
        <f t="shared" si="2"/>
        <v>165.25611596581149</v>
      </c>
      <c r="F38" s="6">
        <f t="shared" si="3"/>
        <v>30748.192502793641</v>
      </c>
    </row>
    <row r="39" spans="1:6">
      <c r="A39" s="5">
        <f t="shared" si="4"/>
        <v>28</v>
      </c>
      <c r="B39" s="6">
        <f t="shared" si="5"/>
        <v>30748.192502793641</v>
      </c>
      <c r="C39" s="6">
        <f t="shared" si="0"/>
        <v>281.18154828615945</v>
      </c>
      <c r="D39" s="6">
        <f t="shared" si="1"/>
        <v>115.30572188547615</v>
      </c>
      <c r="E39" s="6">
        <f t="shared" si="2"/>
        <v>165.87582640068331</v>
      </c>
      <c r="F39" s="6">
        <f t="shared" si="3"/>
        <v>30582.316676392958</v>
      </c>
    </row>
    <row r="40" spans="1:6">
      <c r="A40" s="5">
        <f t="shared" si="4"/>
        <v>29</v>
      </c>
      <c r="B40" s="6">
        <f t="shared" si="5"/>
        <v>30582.316676392958</v>
      </c>
      <c r="C40" s="6">
        <f t="shared" si="0"/>
        <v>281.18154828615945</v>
      </c>
      <c r="D40" s="6">
        <f t="shared" si="1"/>
        <v>114.6836875364736</v>
      </c>
      <c r="E40" s="6">
        <f t="shared" si="2"/>
        <v>166.49786074968586</v>
      </c>
      <c r="F40" s="6">
        <f t="shared" si="3"/>
        <v>30415.818815643273</v>
      </c>
    </row>
    <row r="41" spans="1:6">
      <c r="A41" s="5">
        <f t="shared" si="4"/>
        <v>30</v>
      </c>
      <c r="B41" s="6">
        <f t="shared" si="5"/>
        <v>30415.818815643273</v>
      </c>
      <c r="C41" s="6">
        <f t="shared" si="0"/>
        <v>281.18154828615945</v>
      </c>
      <c r="D41" s="6">
        <f t="shared" si="1"/>
        <v>114.05932055866226</v>
      </c>
      <c r="E41" s="6">
        <f t="shared" si="2"/>
        <v>167.1222277274972</v>
      </c>
      <c r="F41" s="6">
        <f t="shared" si="3"/>
        <v>30248.696587915776</v>
      </c>
    </row>
    <row r="42" spans="1:6">
      <c r="A42" s="5">
        <f t="shared" si="4"/>
        <v>31</v>
      </c>
      <c r="B42" s="6">
        <f t="shared" si="5"/>
        <v>30248.696587915776</v>
      </c>
      <c r="C42" s="6">
        <f t="shared" si="0"/>
        <v>281.18154828615945</v>
      </c>
      <c r="D42" s="6">
        <f t="shared" si="1"/>
        <v>113.43261220468416</v>
      </c>
      <c r="E42" s="6">
        <f t="shared" si="2"/>
        <v>167.74893608147528</v>
      </c>
      <c r="F42" s="6">
        <f t="shared" si="3"/>
        <v>30080.9476518343</v>
      </c>
    </row>
    <row r="43" spans="1:6">
      <c r="A43" s="5">
        <f t="shared" si="4"/>
        <v>32</v>
      </c>
      <c r="B43" s="6">
        <f t="shared" si="5"/>
        <v>30080.9476518343</v>
      </c>
      <c r="C43" s="6">
        <f t="shared" si="0"/>
        <v>281.18154828615945</v>
      </c>
      <c r="D43" s="6">
        <f t="shared" si="1"/>
        <v>112.80355369437861</v>
      </c>
      <c r="E43" s="6">
        <f t="shared" si="2"/>
        <v>168.37799459178086</v>
      </c>
      <c r="F43" s="6">
        <f t="shared" si="3"/>
        <v>29912.569657242519</v>
      </c>
    </row>
    <row r="44" spans="1:6">
      <c r="A44" s="5">
        <f t="shared" si="4"/>
        <v>33</v>
      </c>
      <c r="B44" s="6">
        <f t="shared" si="5"/>
        <v>29912.569657242519</v>
      </c>
      <c r="C44" s="6">
        <f t="shared" si="0"/>
        <v>281.18154828615945</v>
      </c>
      <c r="D44" s="6">
        <f t="shared" si="1"/>
        <v>112.17213621465943</v>
      </c>
      <c r="E44" s="6">
        <f t="shared" si="2"/>
        <v>169.00941207150004</v>
      </c>
      <c r="F44" s="6">
        <f t="shared" si="3"/>
        <v>29743.560245171018</v>
      </c>
    </row>
    <row r="45" spans="1:6">
      <c r="A45" s="5">
        <f t="shared" si="4"/>
        <v>34</v>
      </c>
      <c r="B45" s="6">
        <f t="shared" si="5"/>
        <v>29743.560245171018</v>
      </c>
      <c r="C45" s="6">
        <f t="shared" si="0"/>
        <v>281.18154828615945</v>
      </c>
      <c r="D45" s="6">
        <f t="shared" si="1"/>
        <v>111.53835091939131</v>
      </c>
      <c r="E45" s="6">
        <f t="shared" si="2"/>
        <v>169.64319736676816</v>
      </c>
      <c r="F45" s="6">
        <f t="shared" si="3"/>
        <v>29573.917047804251</v>
      </c>
    </row>
    <row r="46" spans="1:6">
      <c r="A46" s="5">
        <f t="shared" si="4"/>
        <v>35</v>
      </c>
      <c r="B46" s="6">
        <f t="shared" si="5"/>
        <v>29573.917047804251</v>
      </c>
      <c r="C46" s="6">
        <f t="shared" si="0"/>
        <v>281.18154828615945</v>
      </c>
      <c r="D46" s="6">
        <f t="shared" si="1"/>
        <v>110.90218892926593</v>
      </c>
      <c r="E46" s="6">
        <f t="shared" si="2"/>
        <v>170.27935935689351</v>
      </c>
      <c r="F46" s="6">
        <f t="shared" si="3"/>
        <v>29403.637688447358</v>
      </c>
    </row>
    <row r="47" spans="1:6">
      <c r="A47" s="5">
        <f t="shared" si="4"/>
        <v>36</v>
      </c>
      <c r="B47" s="6">
        <f t="shared" si="5"/>
        <v>29403.637688447358</v>
      </c>
      <c r="C47" s="6">
        <f t="shared" si="0"/>
        <v>281.18154828615945</v>
      </c>
      <c r="D47" s="6">
        <f t="shared" si="1"/>
        <v>110.26364133167759</v>
      </c>
      <c r="E47" s="6">
        <f t="shared" si="2"/>
        <v>170.91790695448185</v>
      </c>
      <c r="F47" s="6">
        <f t="shared" si="3"/>
        <v>29232.719781492877</v>
      </c>
    </row>
    <row r="48" spans="1:6">
      <c r="A48" s="5">
        <f t="shared" si="4"/>
        <v>37</v>
      </c>
      <c r="B48" s="6">
        <f t="shared" si="5"/>
        <v>29232.719781492877</v>
      </c>
      <c r="C48" s="6">
        <f t="shared" si="0"/>
        <v>281.18154828615945</v>
      </c>
      <c r="D48" s="6">
        <f t="shared" si="1"/>
        <v>109.62269918059827</v>
      </c>
      <c r="E48" s="6">
        <f t="shared" si="2"/>
        <v>171.55884910556119</v>
      </c>
      <c r="F48" s="6">
        <f t="shared" si="3"/>
        <v>29061.160932387316</v>
      </c>
    </row>
    <row r="49" spans="1:6">
      <c r="A49" s="5">
        <f t="shared" si="4"/>
        <v>38</v>
      </c>
      <c r="B49" s="6">
        <f t="shared" si="5"/>
        <v>29061.160932387316</v>
      </c>
      <c r="C49" s="6">
        <f t="shared" si="0"/>
        <v>281.18154828615945</v>
      </c>
      <c r="D49" s="6">
        <f t="shared" si="1"/>
        <v>108.97935349645242</v>
      </c>
      <c r="E49" s="6">
        <f t="shared" si="2"/>
        <v>172.20219478970705</v>
      </c>
      <c r="F49" s="6">
        <f t="shared" si="3"/>
        <v>28888.958737597608</v>
      </c>
    </row>
    <row r="50" spans="1:6">
      <c r="A50" s="5">
        <f t="shared" si="4"/>
        <v>39</v>
      </c>
      <c r="B50" s="6">
        <f t="shared" si="5"/>
        <v>28888.958737597608</v>
      </c>
      <c r="C50" s="6">
        <f t="shared" si="0"/>
        <v>281.18154828615945</v>
      </c>
      <c r="D50" s="6">
        <f t="shared" si="1"/>
        <v>108.33359526599104</v>
      </c>
      <c r="E50" s="6">
        <f t="shared" si="2"/>
        <v>172.8479530201684</v>
      </c>
      <c r="F50" s="6">
        <f t="shared" si="3"/>
        <v>28716.110784577439</v>
      </c>
    </row>
    <row r="51" spans="1:6">
      <c r="A51" s="5">
        <f t="shared" si="4"/>
        <v>40</v>
      </c>
      <c r="B51" s="6">
        <f t="shared" si="5"/>
        <v>28716.110784577439</v>
      </c>
      <c r="C51" s="6">
        <f t="shared" si="0"/>
        <v>281.18154828615945</v>
      </c>
      <c r="D51" s="6">
        <f t="shared" si="1"/>
        <v>107.68541544216539</v>
      </c>
      <c r="E51" s="6">
        <f t="shared" si="2"/>
        <v>173.49613284399408</v>
      </c>
      <c r="F51" s="6">
        <f t="shared" si="3"/>
        <v>28542.614651733445</v>
      </c>
    </row>
    <row r="52" spans="1:6">
      <c r="A52" s="5">
        <f t="shared" si="4"/>
        <v>41</v>
      </c>
      <c r="B52" s="6">
        <f t="shared" si="5"/>
        <v>28542.614651733445</v>
      </c>
      <c r="C52" s="6">
        <f t="shared" si="0"/>
        <v>281.18154828615945</v>
      </c>
      <c r="D52" s="6">
        <f t="shared" si="1"/>
        <v>107.03480494400041</v>
      </c>
      <c r="E52" s="6">
        <f t="shared" si="2"/>
        <v>174.14674334215903</v>
      </c>
      <c r="F52" s="6">
        <f t="shared" si="3"/>
        <v>28368.467908391285</v>
      </c>
    </row>
    <row r="53" spans="1:6">
      <c r="A53" s="5">
        <f t="shared" si="4"/>
        <v>42</v>
      </c>
      <c r="B53" s="6">
        <f t="shared" si="5"/>
        <v>28368.467908391285</v>
      </c>
      <c r="C53" s="6">
        <f t="shared" si="0"/>
        <v>281.18154828615945</v>
      </c>
      <c r="D53" s="6">
        <f t="shared" si="1"/>
        <v>106.38175465646731</v>
      </c>
      <c r="E53" s="6">
        <f t="shared" si="2"/>
        <v>174.79979362969215</v>
      </c>
      <c r="F53" s="6">
        <f t="shared" si="3"/>
        <v>28193.668114761593</v>
      </c>
    </row>
    <row r="54" spans="1:6">
      <c r="A54" s="5">
        <f t="shared" si="4"/>
        <v>43</v>
      </c>
      <c r="B54" s="6">
        <f t="shared" si="5"/>
        <v>28193.668114761593</v>
      </c>
      <c r="C54" s="6">
        <f t="shared" si="0"/>
        <v>281.18154828615945</v>
      </c>
      <c r="D54" s="6">
        <f t="shared" si="1"/>
        <v>105.72625543035598</v>
      </c>
      <c r="E54" s="6">
        <f t="shared" si="2"/>
        <v>175.45529285580346</v>
      </c>
      <c r="F54" s="6">
        <f t="shared" si="3"/>
        <v>28018.212821905789</v>
      </c>
    </row>
    <row r="55" spans="1:6">
      <c r="A55" s="5">
        <f t="shared" si="4"/>
        <v>44</v>
      </c>
      <c r="B55" s="6">
        <f t="shared" si="5"/>
        <v>28018.212821905789</v>
      </c>
      <c r="C55" s="6">
        <f t="shared" si="0"/>
        <v>281.18154828615945</v>
      </c>
      <c r="D55" s="6">
        <f t="shared" si="1"/>
        <v>105.06829808214671</v>
      </c>
      <c r="E55" s="6">
        <f t="shared" si="2"/>
        <v>176.11325020401273</v>
      </c>
      <c r="F55" s="6">
        <f t="shared" si="3"/>
        <v>27842.099571701776</v>
      </c>
    </row>
    <row r="56" spans="1:6">
      <c r="A56" s="5">
        <f t="shared" si="4"/>
        <v>45</v>
      </c>
      <c r="B56" s="6">
        <f t="shared" si="5"/>
        <v>27842.099571701776</v>
      </c>
      <c r="C56" s="6">
        <f t="shared" si="0"/>
        <v>281.18154828615945</v>
      </c>
      <c r="D56" s="6">
        <f t="shared" si="1"/>
        <v>104.40787339388164</v>
      </c>
      <c r="E56" s="6">
        <f t="shared" si="2"/>
        <v>176.77367489227782</v>
      </c>
      <c r="F56" s="6">
        <f t="shared" si="3"/>
        <v>27665.3258968095</v>
      </c>
    </row>
    <row r="57" spans="1:6">
      <c r="A57" s="5">
        <f t="shared" si="4"/>
        <v>46</v>
      </c>
      <c r="B57" s="6">
        <f t="shared" si="5"/>
        <v>27665.3258968095</v>
      </c>
      <c r="C57" s="6">
        <f t="shared" si="0"/>
        <v>281.18154828615945</v>
      </c>
      <c r="D57" s="6">
        <f t="shared" si="1"/>
        <v>103.74497211303562</v>
      </c>
      <c r="E57" s="6">
        <f t="shared" si="2"/>
        <v>177.43657617312385</v>
      </c>
      <c r="F57" s="6">
        <f t="shared" si="3"/>
        <v>27487.889320636375</v>
      </c>
    </row>
    <row r="58" spans="1:6">
      <c r="A58" s="5">
        <f t="shared" si="4"/>
        <v>47</v>
      </c>
      <c r="B58" s="6">
        <f t="shared" si="5"/>
        <v>27487.889320636375</v>
      </c>
      <c r="C58" s="6">
        <f t="shared" si="0"/>
        <v>281.18154828615945</v>
      </c>
      <c r="D58" s="6">
        <f t="shared" si="1"/>
        <v>103.07958495238641</v>
      </c>
      <c r="E58" s="6">
        <f t="shared" si="2"/>
        <v>178.10196333377303</v>
      </c>
      <c r="F58" s="6">
        <f t="shared" si="3"/>
        <v>27309.787357302601</v>
      </c>
    </row>
    <row r="59" spans="1:6">
      <c r="A59" s="5">
        <f t="shared" si="4"/>
        <v>48</v>
      </c>
      <c r="B59" s="6">
        <f t="shared" si="5"/>
        <v>27309.787357302601</v>
      </c>
      <c r="C59" s="6">
        <f t="shared" si="0"/>
        <v>281.18154828615945</v>
      </c>
      <c r="D59" s="6">
        <f t="shared" si="1"/>
        <v>102.41170258988474</v>
      </c>
      <c r="E59" s="6">
        <f t="shared" si="2"/>
        <v>178.76984569627473</v>
      </c>
      <c r="F59" s="6">
        <f t="shared" si="3"/>
        <v>27131.017511606326</v>
      </c>
    </row>
    <row r="60" spans="1:6">
      <c r="A60" s="5">
        <f t="shared" si="4"/>
        <v>49</v>
      </c>
      <c r="B60" s="6">
        <f t="shared" si="5"/>
        <v>27131.017511606326</v>
      </c>
      <c r="C60" s="6">
        <f t="shared" si="0"/>
        <v>281.18154828615945</v>
      </c>
      <c r="D60" s="6">
        <f t="shared" si="1"/>
        <v>101.74131566852373</v>
      </c>
      <c r="E60" s="6">
        <f t="shared" si="2"/>
        <v>179.44023261763573</v>
      </c>
      <c r="F60" s="6">
        <f t="shared" si="3"/>
        <v>26951.577278988691</v>
      </c>
    </row>
    <row r="61" spans="1:6">
      <c r="A61" s="5">
        <f t="shared" si="4"/>
        <v>50</v>
      </c>
      <c r="B61" s="6">
        <f t="shared" si="5"/>
        <v>26951.577278988691</v>
      </c>
      <c r="C61" s="6">
        <f t="shared" si="0"/>
        <v>281.18154828615945</v>
      </c>
      <c r="D61" s="6">
        <f t="shared" si="1"/>
        <v>101.06841479620759</v>
      </c>
      <c r="E61" s="6">
        <f t="shared" si="2"/>
        <v>180.11313348995185</v>
      </c>
      <c r="F61" s="6">
        <f t="shared" si="3"/>
        <v>26771.46414549874</v>
      </c>
    </row>
    <row r="62" spans="1:6">
      <c r="A62" s="5">
        <f t="shared" si="4"/>
        <v>51</v>
      </c>
      <c r="B62" s="6">
        <f t="shared" si="5"/>
        <v>26771.46414549874</v>
      </c>
      <c r="C62" s="6">
        <f t="shared" si="0"/>
        <v>281.18154828615945</v>
      </c>
      <c r="D62" s="6">
        <f t="shared" si="1"/>
        <v>100.39299054562026</v>
      </c>
      <c r="E62" s="6">
        <f t="shared" si="2"/>
        <v>180.7885577405392</v>
      </c>
      <c r="F62" s="6">
        <f t="shared" si="3"/>
        <v>26590.6755877582</v>
      </c>
    </row>
    <row r="63" spans="1:6">
      <c r="A63" s="5">
        <f t="shared" si="4"/>
        <v>52</v>
      </c>
      <c r="B63" s="6">
        <f t="shared" si="5"/>
        <v>26590.6755877582</v>
      </c>
      <c r="C63" s="6">
        <f t="shared" si="0"/>
        <v>281.18154828615945</v>
      </c>
      <c r="D63" s="6">
        <f t="shared" si="1"/>
        <v>99.715033454093245</v>
      </c>
      <c r="E63" s="6">
        <f t="shared" si="2"/>
        <v>181.4665148320662</v>
      </c>
      <c r="F63" s="6">
        <f t="shared" si="3"/>
        <v>26409.209072926133</v>
      </c>
    </row>
    <row r="64" spans="1:6">
      <c r="A64" s="5">
        <f t="shared" si="4"/>
        <v>53</v>
      </c>
      <c r="B64" s="6">
        <f t="shared" si="5"/>
        <v>26409.209072926133</v>
      </c>
      <c r="C64" s="6">
        <f t="shared" si="0"/>
        <v>281.18154828615945</v>
      </c>
      <c r="D64" s="6">
        <f t="shared" si="1"/>
        <v>99.034534023472986</v>
      </c>
      <c r="E64" s="6">
        <f t="shared" si="2"/>
        <v>182.14701426268647</v>
      </c>
      <c r="F64" s="6">
        <f t="shared" si="3"/>
        <v>26227.062058663447</v>
      </c>
    </row>
    <row r="65" spans="1:6">
      <c r="A65" s="5">
        <f t="shared" si="4"/>
        <v>54</v>
      </c>
      <c r="B65" s="6">
        <f t="shared" si="5"/>
        <v>26227.062058663447</v>
      </c>
      <c r="C65" s="6">
        <f t="shared" si="0"/>
        <v>281.18154828615945</v>
      </c>
      <c r="D65" s="6">
        <f t="shared" si="1"/>
        <v>98.351482719987928</v>
      </c>
      <c r="E65" s="6">
        <f t="shared" si="2"/>
        <v>182.83006556617153</v>
      </c>
      <c r="F65" s="6">
        <f t="shared" si="3"/>
        <v>26044.231993097274</v>
      </c>
    </row>
    <row r="66" spans="1:6">
      <c r="A66" s="5">
        <f t="shared" si="4"/>
        <v>55</v>
      </c>
      <c r="B66" s="6">
        <f t="shared" si="5"/>
        <v>26044.231993097274</v>
      </c>
      <c r="C66" s="6">
        <f t="shared" si="0"/>
        <v>281.18154828615945</v>
      </c>
      <c r="D66" s="6">
        <f t="shared" si="1"/>
        <v>97.665869974114784</v>
      </c>
      <c r="E66" s="6">
        <f t="shared" si="2"/>
        <v>183.51567831204466</v>
      </c>
      <c r="F66" s="6">
        <f t="shared" si="3"/>
        <v>25860.71631478523</v>
      </c>
    </row>
    <row r="67" spans="1:6">
      <c r="A67" s="5">
        <f t="shared" si="4"/>
        <v>56</v>
      </c>
      <c r="B67" s="6">
        <f t="shared" si="5"/>
        <v>25860.71631478523</v>
      </c>
      <c r="C67" s="6">
        <f t="shared" si="0"/>
        <v>281.18154828615945</v>
      </c>
      <c r="D67" s="6">
        <f t="shared" si="1"/>
        <v>96.977686180444607</v>
      </c>
      <c r="E67" s="6">
        <f t="shared" si="2"/>
        <v>184.20386210571485</v>
      </c>
      <c r="F67" s="6">
        <f t="shared" si="3"/>
        <v>25676.512452679515</v>
      </c>
    </row>
    <row r="68" spans="1:6">
      <c r="A68" s="5">
        <f t="shared" si="4"/>
        <v>57</v>
      </c>
      <c r="B68" s="6">
        <f t="shared" si="5"/>
        <v>25676.512452679515</v>
      </c>
      <c r="C68" s="6">
        <f t="shared" si="0"/>
        <v>281.18154828615945</v>
      </c>
      <c r="D68" s="6">
        <f t="shared" si="1"/>
        <v>96.286921697548181</v>
      </c>
      <c r="E68" s="6">
        <f t="shared" si="2"/>
        <v>184.89462658861129</v>
      </c>
      <c r="F68" s="6">
        <f t="shared" si="3"/>
        <v>25491.617826090904</v>
      </c>
    </row>
    <row r="69" spans="1:6">
      <c r="A69" s="5">
        <f t="shared" si="4"/>
        <v>58</v>
      </c>
      <c r="B69" s="6">
        <f t="shared" si="5"/>
        <v>25491.617826090904</v>
      </c>
      <c r="C69" s="6">
        <f t="shared" si="0"/>
        <v>281.18154828615945</v>
      </c>
      <c r="D69" s="6">
        <f t="shared" si="1"/>
        <v>95.593566847840876</v>
      </c>
      <c r="E69" s="6">
        <f t="shared" si="2"/>
        <v>185.58798143831859</v>
      </c>
      <c r="F69" s="6">
        <f t="shared" si="3"/>
        <v>25306.029844652585</v>
      </c>
    </row>
    <row r="70" spans="1:6">
      <c r="A70" s="5">
        <f t="shared" si="4"/>
        <v>59</v>
      </c>
      <c r="B70" s="6">
        <f t="shared" si="5"/>
        <v>25306.029844652585</v>
      </c>
      <c r="C70" s="6">
        <f t="shared" si="0"/>
        <v>281.18154828615945</v>
      </c>
      <c r="D70" s="6">
        <f t="shared" si="1"/>
        <v>94.897611917447193</v>
      </c>
      <c r="E70" s="6">
        <f t="shared" si="2"/>
        <v>186.28393636871226</v>
      </c>
      <c r="F70" s="6">
        <f t="shared" si="3"/>
        <v>25119.745908283872</v>
      </c>
    </row>
    <row r="71" spans="1:6">
      <c r="A71" s="5">
        <f t="shared" si="4"/>
        <v>60</v>
      </c>
      <c r="B71" s="6">
        <f t="shared" si="5"/>
        <v>25119.745908283872</v>
      </c>
      <c r="C71" s="6">
        <f t="shared" si="0"/>
        <v>281.18154828615945</v>
      </c>
      <c r="D71" s="6">
        <f t="shared" si="1"/>
        <v>94.199047156064523</v>
      </c>
      <c r="E71" s="6">
        <f t="shared" si="2"/>
        <v>186.98250113009493</v>
      </c>
      <c r="F71" s="6">
        <f t="shared" si="3"/>
        <v>24932.763407153776</v>
      </c>
    </row>
    <row r="72" spans="1:6">
      <c r="A72" s="5">
        <f t="shared" si="4"/>
        <v>61</v>
      </c>
      <c r="B72" s="6">
        <f t="shared" si="5"/>
        <v>24932.763407153776</v>
      </c>
      <c r="C72" s="6">
        <f t="shared" si="0"/>
        <v>281.18154828615945</v>
      </c>
      <c r="D72" s="6">
        <f t="shared" si="1"/>
        <v>93.497862776826651</v>
      </c>
      <c r="E72" s="6">
        <f t="shared" si="2"/>
        <v>187.6836855093328</v>
      </c>
      <c r="F72" s="6">
        <f t="shared" si="3"/>
        <v>24745.079721644444</v>
      </c>
    </row>
    <row r="73" spans="1:6">
      <c r="A73" s="5">
        <f t="shared" si="4"/>
        <v>62</v>
      </c>
      <c r="B73" s="6">
        <f t="shared" si="5"/>
        <v>24745.079721644444</v>
      </c>
      <c r="C73" s="6">
        <f t="shared" si="0"/>
        <v>281.18154828615945</v>
      </c>
      <c r="D73" s="6">
        <f t="shared" si="1"/>
        <v>92.794048956166662</v>
      </c>
      <c r="E73" s="6">
        <f t="shared" si="2"/>
        <v>188.38749932999281</v>
      </c>
      <c r="F73" s="6">
        <f t="shared" si="3"/>
        <v>24556.69222231445</v>
      </c>
    </row>
    <row r="74" spans="1:6">
      <c r="A74" s="5">
        <f t="shared" si="4"/>
        <v>63</v>
      </c>
      <c r="B74" s="6">
        <f t="shared" si="5"/>
        <v>24556.69222231445</v>
      </c>
      <c r="C74" s="6">
        <f t="shared" si="0"/>
        <v>281.18154828615945</v>
      </c>
      <c r="D74" s="6">
        <f t="shared" si="1"/>
        <v>92.087595833679188</v>
      </c>
      <c r="E74" s="6">
        <f t="shared" si="2"/>
        <v>189.09395245248027</v>
      </c>
      <c r="F74" s="6">
        <f t="shared" si="3"/>
        <v>24367.59826986197</v>
      </c>
    </row>
    <row r="75" spans="1:6">
      <c r="A75" s="5">
        <f t="shared" si="4"/>
        <v>64</v>
      </c>
      <c r="B75" s="6">
        <f t="shared" si="5"/>
        <v>24367.59826986197</v>
      </c>
      <c r="C75" s="6">
        <f t="shared" si="0"/>
        <v>281.18154828615945</v>
      </c>
      <c r="D75" s="6">
        <f t="shared" si="1"/>
        <v>91.378493511982398</v>
      </c>
      <c r="E75" s="6">
        <f t="shared" si="2"/>
        <v>189.80305477417704</v>
      </c>
      <c r="F75" s="6">
        <f t="shared" si="3"/>
        <v>24177.795215087794</v>
      </c>
    </row>
    <row r="76" spans="1:6">
      <c r="A76" s="5">
        <f t="shared" si="4"/>
        <v>65</v>
      </c>
      <c r="B76" s="6">
        <f t="shared" si="5"/>
        <v>24177.795215087794</v>
      </c>
      <c r="C76" s="6">
        <f t="shared" ref="C76:C139" si="6">IF(A76="","",$B$8)</f>
        <v>281.18154828615945</v>
      </c>
      <c r="D76" s="6">
        <f t="shared" ref="D76:D139" si="7">IF(A76="","",B76*$B$4/$B$6)</f>
        <v>90.666732056579221</v>
      </c>
      <c r="E76" s="6">
        <f t="shared" ref="E76:E139" si="8">IF(A76="","",C76-D76)</f>
        <v>190.51481622958022</v>
      </c>
      <c r="F76" s="6">
        <f t="shared" ref="F76:F139" si="9">IF(A76="","",B76-E76)</f>
        <v>23987.280398858213</v>
      </c>
    </row>
    <row r="77" spans="1:6">
      <c r="A77" s="5">
        <f t="shared" ref="A77:A140" si="10">IF(A76&lt;$B$9,A76+1,IF(ROW()=12,1,""))</f>
        <v>66</v>
      </c>
      <c r="B77" s="6">
        <f t="shared" ref="B77:B140" si="11">IF(A77="","",F76)</f>
        <v>23987.280398858213</v>
      </c>
      <c r="C77" s="6">
        <f t="shared" si="6"/>
        <v>281.18154828615945</v>
      </c>
      <c r="D77" s="6">
        <f t="shared" si="7"/>
        <v>89.952301495718302</v>
      </c>
      <c r="E77" s="6">
        <f t="shared" si="8"/>
        <v>191.22924679044115</v>
      </c>
      <c r="F77" s="6">
        <f t="shared" si="9"/>
        <v>23796.051152067772</v>
      </c>
    </row>
    <row r="78" spans="1:6">
      <c r="A78" s="5">
        <f t="shared" si="10"/>
        <v>67</v>
      </c>
      <c r="B78" s="6">
        <f t="shared" si="11"/>
        <v>23796.051152067772</v>
      </c>
      <c r="C78" s="6">
        <f t="shared" si="6"/>
        <v>281.18154828615945</v>
      </c>
      <c r="D78" s="6">
        <f t="shared" si="7"/>
        <v>89.235191820254144</v>
      </c>
      <c r="E78" s="6">
        <f t="shared" si="8"/>
        <v>191.9463564659053</v>
      </c>
      <c r="F78" s="6">
        <f t="shared" si="9"/>
        <v>23604.104795601866</v>
      </c>
    </row>
    <row r="79" spans="1:6">
      <c r="A79" s="5">
        <f t="shared" si="10"/>
        <v>68</v>
      </c>
      <c r="B79" s="6">
        <f t="shared" si="11"/>
        <v>23604.104795601866</v>
      </c>
      <c r="C79" s="6">
        <f t="shared" si="6"/>
        <v>281.18154828615945</v>
      </c>
      <c r="D79" s="6">
        <f t="shared" si="7"/>
        <v>88.515392983506999</v>
      </c>
      <c r="E79" s="6">
        <f t="shared" si="8"/>
        <v>192.66615530265244</v>
      </c>
      <c r="F79" s="6">
        <f t="shared" si="9"/>
        <v>23411.438640299213</v>
      </c>
    </row>
    <row r="80" spans="1:6">
      <c r="A80" s="5">
        <f t="shared" si="10"/>
        <v>69</v>
      </c>
      <c r="B80" s="6">
        <f t="shared" si="11"/>
        <v>23411.438640299213</v>
      </c>
      <c r="C80" s="6">
        <f t="shared" si="6"/>
        <v>281.18154828615945</v>
      </c>
      <c r="D80" s="6">
        <f t="shared" si="7"/>
        <v>87.792894901122054</v>
      </c>
      <c r="E80" s="6">
        <f t="shared" si="8"/>
        <v>193.3886533850374</v>
      </c>
      <c r="F80" s="6">
        <f t="shared" si="9"/>
        <v>23218.049986914175</v>
      </c>
    </row>
    <row r="81" spans="1:6">
      <c r="A81" s="5">
        <f t="shared" si="10"/>
        <v>70</v>
      </c>
      <c r="B81" s="6">
        <f t="shared" si="11"/>
        <v>23218.049986914175</v>
      </c>
      <c r="C81" s="6">
        <f t="shared" si="6"/>
        <v>281.18154828615945</v>
      </c>
      <c r="D81" s="6">
        <f t="shared" si="7"/>
        <v>87.067687450928148</v>
      </c>
      <c r="E81" s="6">
        <f t="shared" si="8"/>
        <v>194.11386083523132</v>
      </c>
      <c r="F81" s="6">
        <f t="shared" si="9"/>
        <v>23023.936126078945</v>
      </c>
    </row>
    <row r="82" spans="1:6">
      <c r="A82" s="5">
        <f t="shared" si="10"/>
        <v>71</v>
      </c>
      <c r="B82" s="6">
        <f t="shared" si="11"/>
        <v>23023.936126078945</v>
      </c>
      <c r="C82" s="6">
        <f t="shared" si="6"/>
        <v>281.18154828615945</v>
      </c>
      <c r="D82" s="6">
        <f t="shared" si="7"/>
        <v>86.339760472796044</v>
      </c>
      <c r="E82" s="6">
        <f t="shared" si="8"/>
        <v>194.8417878133634</v>
      </c>
      <c r="F82" s="6">
        <f t="shared" si="9"/>
        <v>22829.094338265582</v>
      </c>
    </row>
    <row r="83" spans="1:6">
      <c r="A83" s="5">
        <f t="shared" si="10"/>
        <v>72</v>
      </c>
      <c r="B83" s="6">
        <f t="shared" si="11"/>
        <v>22829.094338265582</v>
      </c>
      <c r="C83" s="6">
        <f t="shared" si="6"/>
        <v>281.18154828615945</v>
      </c>
      <c r="D83" s="6">
        <f t="shared" si="7"/>
        <v>85.609103768495928</v>
      </c>
      <c r="E83" s="6">
        <f t="shared" si="8"/>
        <v>195.57244451766354</v>
      </c>
      <c r="F83" s="6">
        <f t="shared" si="9"/>
        <v>22633.521893747919</v>
      </c>
    </row>
    <row r="84" spans="1:6">
      <c r="A84" s="5">
        <f t="shared" si="10"/>
        <v>73</v>
      </c>
      <c r="B84" s="6">
        <f t="shared" si="11"/>
        <v>22633.521893747919</v>
      </c>
      <c r="C84" s="6">
        <f t="shared" si="6"/>
        <v>281.18154828615945</v>
      </c>
      <c r="D84" s="6">
        <f t="shared" si="7"/>
        <v>84.875707101554696</v>
      </c>
      <c r="E84" s="6">
        <f t="shared" si="8"/>
        <v>196.30584118460476</v>
      </c>
      <c r="F84" s="6">
        <f t="shared" si="9"/>
        <v>22437.216052563315</v>
      </c>
    </row>
    <row r="85" spans="1:6">
      <c r="A85" s="5">
        <f t="shared" si="10"/>
        <v>74</v>
      </c>
      <c r="B85" s="6">
        <f t="shared" si="11"/>
        <v>22437.216052563315</v>
      </c>
      <c r="C85" s="6">
        <f t="shared" si="6"/>
        <v>281.18154828615945</v>
      </c>
      <c r="D85" s="6">
        <f t="shared" si="7"/>
        <v>84.139560197112431</v>
      </c>
      <c r="E85" s="6">
        <f t="shared" si="8"/>
        <v>197.04198808904704</v>
      </c>
      <c r="F85" s="6">
        <f t="shared" si="9"/>
        <v>22240.174064474268</v>
      </c>
    </row>
    <row r="86" spans="1:6">
      <c r="A86" s="5">
        <f t="shared" si="10"/>
        <v>75</v>
      </c>
      <c r="B86" s="6">
        <f t="shared" si="11"/>
        <v>22240.174064474268</v>
      </c>
      <c r="C86" s="6">
        <f t="shared" si="6"/>
        <v>281.18154828615945</v>
      </c>
      <c r="D86" s="6">
        <f t="shared" si="7"/>
        <v>83.400652741778501</v>
      </c>
      <c r="E86" s="6">
        <f t="shared" si="8"/>
        <v>197.78089554438094</v>
      </c>
      <c r="F86" s="6">
        <f t="shared" si="9"/>
        <v>22042.393168929888</v>
      </c>
    </row>
    <row r="87" spans="1:6">
      <c r="A87" s="5">
        <f t="shared" si="10"/>
        <v>76</v>
      </c>
      <c r="B87" s="6">
        <f t="shared" si="11"/>
        <v>22042.393168929888</v>
      </c>
      <c r="C87" s="6">
        <f t="shared" si="6"/>
        <v>281.18154828615945</v>
      </c>
      <c r="D87" s="6">
        <f t="shared" si="7"/>
        <v>82.658974383487077</v>
      </c>
      <c r="E87" s="6">
        <f t="shared" si="8"/>
        <v>198.52257390267238</v>
      </c>
      <c r="F87" s="6">
        <f t="shared" si="9"/>
        <v>21843.870595027216</v>
      </c>
    </row>
    <row r="88" spans="1:6">
      <c r="A88" s="5">
        <f t="shared" si="10"/>
        <v>77</v>
      </c>
      <c r="B88" s="6">
        <f t="shared" si="11"/>
        <v>21843.870595027216</v>
      </c>
      <c r="C88" s="6">
        <f t="shared" si="6"/>
        <v>281.18154828615945</v>
      </c>
      <c r="D88" s="6">
        <f t="shared" si="7"/>
        <v>81.914514731352057</v>
      </c>
      <c r="E88" s="6">
        <f t="shared" si="8"/>
        <v>199.2670335548074</v>
      </c>
      <c r="F88" s="6">
        <f t="shared" si="9"/>
        <v>21644.60356147241</v>
      </c>
    </row>
    <row r="89" spans="1:6">
      <c r="A89" s="5">
        <f t="shared" si="10"/>
        <v>78</v>
      </c>
      <c r="B89" s="6">
        <f t="shared" si="11"/>
        <v>21644.60356147241</v>
      </c>
      <c r="C89" s="6">
        <f t="shared" si="6"/>
        <v>281.18154828615945</v>
      </c>
      <c r="D89" s="6">
        <f t="shared" si="7"/>
        <v>81.167263355521541</v>
      </c>
      <c r="E89" s="6">
        <f t="shared" si="8"/>
        <v>200.01428493063793</v>
      </c>
      <c r="F89" s="6">
        <f t="shared" si="9"/>
        <v>21444.58927654177</v>
      </c>
    </row>
    <row r="90" spans="1:6">
      <c r="A90" s="5">
        <f t="shared" si="10"/>
        <v>79</v>
      </c>
      <c r="B90" s="6">
        <f t="shared" si="11"/>
        <v>21444.58927654177</v>
      </c>
      <c r="C90" s="6">
        <f t="shared" si="6"/>
        <v>281.18154828615945</v>
      </c>
      <c r="D90" s="6">
        <f t="shared" si="7"/>
        <v>80.417209787031638</v>
      </c>
      <c r="E90" s="6">
        <f t="shared" si="8"/>
        <v>200.7643384991278</v>
      </c>
      <c r="F90" s="6">
        <f t="shared" si="9"/>
        <v>21243.824938042642</v>
      </c>
    </row>
    <row r="91" spans="1:6">
      <c r="A91" s="5">
        <f t="shared" si="10"/>
        <v>80</v>
      </c>
      <c r="B91" s="6">
        <f t="shared" si="11"/>
        <v>21243.824938042642</v>
      </c>
      <c r="C91" s="6">
        <f t="shared" si="6"/>
        <v>281.18154828615945</v>
      </c>
      <c r="D91" s="6">
        <f t="shared" si="7"/>
        <v>79.664343517659901</v>
      </c>
      <c r="E91" s="6">
        <f t="shared" si="8"/>
        <v>201.51720476849954</v>
      </c>
      <c r="F91" s="6">
        <f t="shared" si="9"/>
        <v>21042.307733274141</v>
      </c>
    </row>
    <row r="92" spans="1:6">
      <c r="A92" s="5">
        <f t="shared" si="10"/>
        <v>81</v>
      </c>
      <c r="B92" s="6">
        <f t="shared" si="11"/>
        <v>21042.307733274141</v>
      </c>
      <c r="C92" s="6">
        <f t="shared" si="6"/>
        <v>281.18154828615945</v>
      </c>
      <c r="D92" s="6">
        <f t="shared" si="7"/>
        <v>78.908653999778025</v>
      </c>
      <c r="E92" s="6">
        <f t="shared" si="8"/>
        <v>202.27289428638142</v>
      </c>
      <c r="F92" s="6">
        <f t="shared" si="9"/>
        <v>20840.034838987762</v>
      </c>
    </row>
    <row r="93" spans="1:6">
      <c r="A93" s="5">
        <f t="shared" si="10"/>
        <v>82</v>
      </c>
      <c r="B93" s="6">
        <f t="shared" si="11"/>
        <v>20840.034838987762</v>
      </c>
      <c r="C93" s="6">
        <f t="shared" si="6"/>
        <v>281.18154828615945</v>
      </c>
      <c r="D93" s="6">
        <f t="shared" si="7"/>
        <v>78.150130646204104</v>
      </c>
      <c r="E93" s="6">
        <f t="shared" si="8"/>
        <v>203.03141763995535</v>
      </c>
      <c r="F93" s="6">
        <f t="shared" si="9"/>
        <v>20637.003421347807</v>
      </c>
    </row>
    <row r="94" spans="1:6">
      <c r="A94" s="5">
        <f t="shared" si="10"/>
        <v>83</v>
      </c>
      <c r="B94" s="6">
        <f t="shared" si="11"/>
        <v>20637.003421347807</v>
      </c>
      <c r="C94" s="6">
        <f t="shared" si="6"/>
        <v>281.18154828615945</v>
      </c>
      <c r="D94" s="6">
        <f t="shared" si="7"/>
        <v>77.388762830054276</v>
      </c>
      <c r="E94" s="6">
        <f t="shared" si="8"/>
        <v>203.79278545610518</v>
      </c>
      <c r="F94" s="6">
        <f t="shared" si="9"/>
        <v>20433.210635891701</v>
      </c>
    </row>
    <row r="95" spans="1:6">
      <c r="A95" s="5">
        <f t="shared" si="10"/>
        <v>84</v>
      </c>
      <c r="B95" s="6">
        <f t="shared" si="11"/>
        <v>20433.210635891701</v>
      </c>
      <c r="C95" s="6">
        <f t="shared" si="6"/>
        <v>281.18154828615945</v>
      </c>
      <c r="D95" s="6">
        <f t="shared" si="7"/>
        <v>76.624539884593872</v>
      </c>
      <c r="E95" s="6">
        <f t="shared" si="8"/>
        <v>204.55700840156558</v>
      </c>
      <c r="F95" s="6">
        <f t="shared" si="9"/>
        <v>20228.653627490134</v>
      </c>
    </row>
    <row r="96" spans="1:6">
      <c r="A96" s="5">
        <f t="shared" si="10"/>
        <v>85</v>
      </c>
      <c r="B96" s="6">
        <f t="shared" si="11"/>
        <v>20228.653627490134</v>
      </c>
      <c r="C96" s="6">
        <f t="shared" si="6"/>
        <v>281.18154828615945</v>
      </c>
      <c r="D96" s="6">
        <f t="shared" si="7"/>
        <v>75.857451103087996</v>
      </c>
      <c r="E96" s="6">
        <f t="shared" si="8"/>
        <v>205.32409718307144</v>
      </c>
      <c r="F96" s="6">
        <f t="shared" si="9"/>
        <v>20023.329530307063</v>
      </c>
    </row>
    <row r="97" spans="1:6">
      <c r="A97" s="5">
        <f t="shared" si="10"/>
        <v>86</v>
      </c>
      <c r="B97" s="6">
        <f t="shared" si="11"/>
        <v>20023.329530307063</v>
      </c>
      <c r="C97" s="6">
        <f t="shared" si="6"/>
        <v>281.18154828615945</v>
      </c>
      <c r="D97" s="6">
        <f t="shared" si="7"/>
        <v>75.08748573865148</v>
      </c>
      <c r="E97" s="6">
        <f t="shared" si="8"/>
        <v>206.09406254750797</v>
      </c>
      <c r="F97" s="6">
        <f t="shared" si="9"/>
        <v>19817.235467759554</v>
      </c>
    </row>
    <row r="98" spans="1:6">
      <c r="A98" s="5">
        <f t="shared" si="10"/>
        <v>87</v>
      </c>
      <c r="B98" s="6">
        <f t="shared" si="11"/>
        <v>19817.235467759554</v>
      </c>
      <c r="C98" s="6">
        <f t="shared" si="6"/>
        <v>281.18154828615945</v>
      </c>
      <c r="D98" s="6">
        <f t="shared" si="7"/>
        <v>74.314633004098326</v>
      </c>
      <c r="E98" s="6">
        <f t="shared" si="8"/>
        <v>206.86691528206114</v>
      </c>
      <c r="F98" s="6">
        <f t="shared" si="9"/>
        <v>19610.368552477492</v>
      </c>
    </row>
    <row r="99" spans="1:6">
      <c r="A99" s="5">
        <f t="shared" si="10"/>
        <v>88</v>
      </c>
      <c r="B99" s="6">
        <f t="shared" si="11"/>
        <v>19610.368552477492</v>
      </c>
      <c r="C99" s="6">
        <f t="shared" si="6"/>
        <v>281.18154828615945</v>
      </c>
      <c r="D99" s="6">
        <f t="shared" si="7"/>
        <v>73.538882071790596</v>
      </c>
      <c r="E99" s="6">
        <f t="shared" si="8"/>
        <v>207.64266621436886</v>
      </c>
      <c r="F99" s="6">
        <f t="shared" si="9"/>
        <v>19402.725886263124</v>
      </c>
    </row>
    <row r="100" spans="1:6">
      <c r="A100" s="5">
        <f t="shared" si="10"/>
        <v>89</v>
      </c>
      <c r="B100" s="6">
        <f t="shared" si="11"/>
        <v>19402.725886263124</v>
      </c>
      <c r="C100" s="6">
        <f t="shared" si="6"/>
        <v>281.18154828615945</v>
      </c>
      <c r="D100" s="6">
        <f t="shared" si="7"/>
        <v>72.760222073486716</v>
      </c>
      <c r="E100" s="6">
        <f t="shared" si="8"/>
        <v>208.42132621267274</v>
      </c>
      <c r="F100" s="6">
        <f t="shared" si="9"/>
        <v>19194.304560050452</v>
      </c>
    </row>
    <row r="101" spans="1:6">
      <c r="A101" s="5">
        <f t="shared" si="10"/>
        <v>90</v>
      </c>
      <c r="B101" s="6">
        <f t="shared" si="11"/>
        <v>19194.304560050452</v>
      </c>
      <c r="C101" s="6">
        <f t="shared" si="6"/>
        <v>281.18154828615945</v>
      </c>
      <c r="D101" s="6">
        <f t="shared" si="7"/>
        <v>71.978642100189191</v>
      </c>
      <c r="E101" s="6">
        <f t="shared" si="8"/>
        <v>209.20290618597028</v>
      </c>
      <c r="F101" s="6">
        <f t="shared" si="9"/>
        <v>18985.101653864484</v>
      </c>
    </row>
    <row r="102" spans="1:6">
      <c r="A102" s="5">
        <f t="shared" si="10"/>
        <v>91</v>
      </c>
      <c r="B102" s="6">
        <f t="shared" si="11"/>
        <v>18985.101653864484</v>
      </c>
      <c r="C102" s="6">
        <f t="shared" si="6"/>
        <v>281.18154828615945</v>
      </c>
      <c r="D102" s="6">
        <f t="shared" si="7"/>
        <v>71.194131201991809</v>
      </c>
      <c r="E102" s="6">
        <f t="shared" si="8"/>
        <v>209.98741708416765</v>
      </c>
      <c r="F102" s="6">
        <f t="shared" si="9"/>
        <v>18775.114236780315</v>
      </c>
    </row>
    <row r="103" spans="1:6">
      <c r="A103" s="5">
        <f t="shared" si="10"/>
        <v>92</v>
      </c>
      <c r="B103" s="6">
        <f t="shared" si="11"/>
        <v>18775.114236780315</v>
      </c>
      <c r="C103" s="6">
        <f t="shared" si="6"/>
        <v>281.18154828615945</v>
      </c>
      <c r="D103" s="6">
        <f t="shared" si="7"/>
        <v>70.406678387926178</v>
      </c>
      <c r="E103" s="6">
        <f t="shared" si="8"/>
        <v>210.77486989823328</v>
      </c>
      <c r="F103" s="6">
        <f t="shared" si="9"/>
        <v>18564.339366882083</v>
      </c>
    </row>
    <row r="104" spans="1:6">
      <c r="A104" s="5">
        <f t="shared" si="10"/>
        <v>93</v>
      </c>
      <c r="B104" s="6">
        <f t="shared" si="11"/>
        <v>18564.339366882083</v>
      </c>
      <c r="C104" s="6">
        <f t="shared" si="6"/>
        <v>281.18154828615945</v>
      </c>
      <c r="D104" s="6">
        <f t="shared" si="7"/>
        <v>69.61627262580781</v>
      </c>
      <c r="E104" s="6">
        <f t="shared" si="8"/>
        <v>211.56527566035163</v>
      </c>
      <c r="F104" s="6">
        <f t="shared" si="9"/>
        <v>18352.77409122173</v>
      </c>
    </row>
    <row r="105" spans="1:6">
      <c r="A105" s="5">
        <f t="shared" si="10"/>
        <v>94</v>
      </c>
      <c r="B105" s="6">
        <f t="shared" si="11"/>
        <v>18352.77409122173</v>
      </c>
      <c r="C105" s="6">
        <f t="shared" si="6"/>
        <v>281.18154828615945</v>
      </c>
      <c r="D105" s="6">
        <f t="shared" si="7"/>
        <v>68.82290284208149</v>
      </c>
      <c r="E105" s="6">
        <f t="shared" si="8"/>
        <v>212.35864544407798</v>
      </c>
      <c r="F105" s="6">
        <f t="shared" si="9"/>
        <v>18140.415445777653</v>
      </c>
    </row>
    <row r="106" spans="1:6">
      <c r="A106" s="5">
        <f t="shared" si="10"/>
        <v>95</v>
      </c>
      <c r="B106" s="6">
        <f t="shared" si="11"/>
        <v>18140.415445777653</v>
      </c>
      <c r="C106" s="6">
        <f t="shared" si="6"/>
        <v>281.18154828615945</v>
      </c>
      <c r="D106" s="6">
        <f t="shared" si="7"/>
        <v>68.026557921666196</v>
      </c>
      <c r="E106" s="6">
        <f t="shared" si="8"/>
        <v>213.15499036449324</v>
      </c>
      <c r="F106" s="6">
        <f t="shared" si="9"/>
        <v>17927.260455413161</v>
      </c>
    </row>
    <row r="107" spans="1:6">
      <c r="A107" s="5">
        <f t="shared" si="10"/>
        <v>96</v>
      </c>
      <c r="B107" s="6">
        <f t="shared" si="11"/>
        <v>17927.260455413161</v>
      </c>
      <c r="C107" s="6">
        <f t="shared" si="6"/>
        <v>281.18154828615945</v>
      </c>
      <c r="D107" s="6">
        <f t="shared" si="7"/>
        <v>67.227226707799346</v>
      </c>
      <c r="E107" s="6">
        <f t="shared" si="8"/>
        <v>213.95432157836012</v>
      </c>
      <c r="F107" s="6">
        <f t="shared" si="9"/>
        <v>17713.306133834802</v>
      </c>
    </row>
    <row r="108" spans="1:6">
      <c r="A108" s="5">
        <f t="shared" si="10"/>
        <v>97</v>
      </c>
      <c r="B108" s="6">
        <f t="shared" si="11"/>
        <v>17713.306133834802</v>
      </c>
      <c r="C108" s="6">
        <f t="shared" si="6"/>
        <v>281.18154828615945</v>
      </c>
      <c r="D108" s="6">
        <f t="shared" si="7"/>
        <v>66.424898001880507</v>
      </c>
      <c r="E108" s="6">
        <f t="shared" si="8"/>
        <v>214.75665028427895</v>
      </c>
      <c r="F108" s="6">
        <f t="shared" si="9"/>
        <v>17498.549483550523</v>
      </c>
    </row>
    <row r="109" spans="1:6">
      <c r="A109" s="5">
        <f t="shared" si="10"/>
        <v>98</v>
      </c>
      <c r="B109" s="6">
        <f t="shared" si="11"/>
        <v>17498.549483550523</v>
      </c>
      <c r="C109" s="6">
        <f t="shared" si="6"/>
        <v>281.18154828615945</v>
      </c>
      <c r="D109" s="6">
        <f t="shared" si="7"/>
        <v>65.619560563314465</v>
      </c>
      <c r="E109" s="6">
        <f t="shared" si="8"/>
        <v>215.561987722845</v>
      </c>
      <c r="F109" s="6">
        <f t="shared" si="9"/>
        <v>17282.987495827678</v>
      </c>
    </row>
    <row r="110" spans="1:6">
      <c r="A110" s="5">
        <f t="shared" si="10"/>
        <v>99</v>
      </c>
      <c r="B110" s="6">
        <f t="shared" si="11"/>
        <v>17282.987495827678</v>
      </c>
      <c r="C110" s="6">
        <f t="shared" si="6"/>
        <v>281.18154828615945</v>
      </c>
      <c r="D110" s="6">
        <f t="shared" si="7"/>
        <v>64.811203109353798</v>
      </c>
      <c r="E110" s="6">
        <f t="shared" si="8"/>
        <v>216.37034517680564</v>
      </c>
      <c r="F110" s="6">
        <f t="shared" si="9"/>
        <v>17066.617150650873</v>
      </c>
    </row>
    <row r="111" spans="1:6">
      <c r="A111" s="5">
        <f t="shared" si="10"/>
        <v>100</v>
      </c>
      <c r="B111" s="6">
        <f t="shared" si="11"/>
        <v>17066.617150650873</v>
      </c>
      <c r="C111" s="6">
        <f t="shared" si="6"/>
        <v>281.18154828615945</v>
      </c>
      <c r="D111" s="6">
        <f t="shared" si="7"/>
        <v>63.999814314940771</v>
      </c>
      <c r="E111" s="6">
        <f t="shared" si="8"/>
        <v>217.18173397121868</v>
      </c>
      <c r="F111" s="6">
        <f t="shared" si="9"/>
        <v>16849.435416679655</v>
      </c>
    </row>
    <row r="112" spans="1:6">
      <c r="A112" s="5">
        <f t="shared" si="10"/>
        <v>101</v>
      </c>
      <c r="B112" s="6">
        <f t="shared" si="11"/>
        <v>16849.435416679655</v>
      </c>
      <c r="C112" s="6">
        <f t="shared" si="6"/>
        <v>281.18154828615945</v>
      </c>
      <c r="D112" s="6">
        <f t="shared" si="7"/>
        <v>63.185382812548703</v>
      </c>
      <c r="E112" s="6">
        <f t="shared" si="8"/>
        <v>217.99616547361074</v>
      </c>
      <c r="F112" s="6">
        <f t="shared" si="9"/>
        <v>16631.439251206044</v>
      </c>
    </row>
    <row r="113" spans="1:6">
      <c r="A113" s="5">
        <f t="shared" si="10"/>
        <v>102</v>
      </c>
      <c r="B113" s="6">
        <f t="shared" si="11"/>
        <v>16631.439251206044</v>
      </c>
      <c r="C113" s="6">
        <f t="shared" si="6"/>
        <v>281.18154828615945</v>
      </c>
      <c r="D113" s="6">
        <f t="shared" si="7"/>
        <v>62.367897192022667</v>
      </c>
      <c r="E113" s="6">
        <f t="shared" si="8"/>
        <v>218.81365109413679</v>
      </c>
      <c r="F113" s="6">
        <f t="shared" si="9"/>
        <v>16412.625600111907</v>
      </c>
    </row>
    <row r="114" spans="1:6">
      <c r="A114" s="5">
        <f t="shared" si="10"/>
        <v>103</v>
      </c>
      <c r="B114" s="6">
        <f t="shared" si="11"/>
        <v>16412.625600111907</v>
      </c>
      <c r="C114" s="6">
        <f t="shared" si="6"/>
        <v>281.18154828615945</v>
      </c>
      <c r="D114" s="6">
        <f t="shared" si="7"/>
        <v>61.547346000419651</v>
      </c>
      <c r="E114" s="6">
        <f t="shared" si="8"/>
        <v>219.6342022857398</v>
      </c>
      <c r="F114" s="6">
        <f t="shared" si="9"/>
        <v>16192.991397826167</v>
      </c>
    </row>
    <row r="115" spans="1:6">
      <c r="A115" s="5">
        <f t="shared" si="10"/>
        <v>104</v>
      </c>
      <c r="B115" s="6">
        <f t="shared" si="11"/>
        <v>16192.991397826167</v>
      </c>
      <c r="C115" s="6">
        <f t="shared" si="6"/>
        <v>281.18154828615945</v>
      </c>
      <c r="D115" s="6">
        <f t="shared" si="7"/>
        <v>60.723717741848127</v>
      </c>
      <c r="E115" s="6">
        <f t="shared" si="8"/>
        <v>220.45783054431132</v>
      </c>
      <c r="F115" s="6">
        <f t="shared" si="9"/>
        <v>15972.533567281855</v>
      </c>
    </row>
    <row r="116" spans="1:6">
      <c r="A116" s="5">
        <f t="shared" si="10"/>
        <v>105</v>
      </c>
      <c r="B116" s="6">
        <f t="shared" si="11"/>
        <v>15972.533567281855</v>
      </c>
      <c r="C116" s="6">
        <f t="shared" si="6"/>
        <v>281.18154828615945</v>
      </c>
      <c r="D116" s="6">
        <f t="shared" si="7"/>
        <v>59.897000877306958</v>
      </c>
      <c r="E116" s="6">
        <f t="shared" si="8"/>
        <v>221.28454740885249</v>
      </c>
      <c r="F116" s="6">
        <f t="shared" si="9"/>
        <v>15751.249019873003</v>
      </c>
    </row>
    <row r="117" spans="1:6">
      <c r="A117" s="5">
        <f t="shared" si="10"/>
        <v>106</v>
      </c>
      <c r="B117" s="6">
        <f t="shared" si="11"/>
        <v>15751.249019873003</v>
      </c>
      <c r="C117" s="6">
        <f t="shared" si="6"/>
        <v>281.18154828615945</v>
      </c>
      <c r="D117" s="6">
        <f t="shared" si="7"/>
        <v>59.067183824523759</v>
      </c>
      <c r="E117" s="6">
        <f t="shared" si="8"/>
        <v>222.11436446163569</v>
      </c>
      <c r="F117" s="6">
        <f t="shared" si="9"/>
        <v>15529.134655411368</v>
      </c>
    </row>
    <row r="118" spans="1:6">
      <c r="A118" s="5">
        <f t="shared" si="10"/>
        <v>107</v>
      </c>
      <c r="B118" s="6">
        <f t="shared" si="11"/>
        <v>15529.134655411368</v>
      </c>
      <c r="C118" s="6">
        <f t="shared" si="6"/>
        <v>281.18154828615945</v>
      </c>
      <c r="D118" s="6">
        <f t="shared" si="7"/>
        <v>58.234254957792622</v>
      </c>
      <c r="E118" s="6">
        <f t="shared" si="8"/>
        <v>222.94729332836684</v>
      </c>
      <c r="F118" s="6">
        <f t="shared" si="9"/>
        <v>15306.187362083001</v>
      </c>
    </row>
    <row r="119" spans="1:6">
      <c r="A119" s="5">
        <f t="shared" si="10"/>
        <v>108</v>
      </c>
      <c r="B119" s="6">
        <f t="shared" si="11"/>
        <v>15306.187362083001</v>
      </c>
      <c r="C119" s="6">
        <f t="shared" si="6"/>
        <v>281.18154828615945</v>
      </c>
      <c r="D119" s="6">
        <f t="shared" si="7"/>
        <v>57.39820260781125</v>
      </c>
      <c r="E119" s="6">
        <f t="shared" si="8"/>
        <v>223.78334567834821</v>
      </c>
      <c r="F119" s="6">
        <f t="shared" si="9"/>
        <v>15082.404016404653</v>
      </c>
    </row>
    <row r="120" spans="1:6">
      <c r="A120" s="5">
        <f t="shared" si="10"/>
        <v>109</v>
      </c>
      <c r="B120" s="6">
        <f t="shared" si="11"/>
        <v>15082.404016404653</v>
      </c>
      <c r="C120" s="6">
        <f t="shared" si="6"/>
        <v>281.18154828615945</v>
      </c>
      <c r="D120" s="6">
        <f t="shared" si="7"/>
        <v>56.559015061517442</v>
      </c>
      <c r="E120" s="6">
        <f t="shared" si="8"/>
        <v>224.62253322464201</v>
      </c>
      <c r="F120" s="6">
        <f t="shared" si="9"/>
        <v>14857.781483180011</v>
      </c>
    </row>
    <row r="121" spans="1:6">
      <c r="A121" s="5">
        <f t="shared" si="10"/>
        <v>110</v>
      </c>
      <c r="B121" s="6">
        <f t="shared" si="11"/>
        <v>14857.781483180011</v>
      </c>
      <c r="C121" s="6">
        <f t="shared" si="6"/>
        <v>281.18154828615945</v>
      </c>
      <c r="D121" s="6">
        <f t="shared" si="7"/>
        <v>55.716680561925045</v>
      </c>
      <c r="E121" s="6">
        <f t="shared" si="8"/>
        <v>225.46486772423441</v>
      </c>
      <c r="F121" s="6">
        <f t="shared" si="9"/>
        <v>14632.316615455777</v>
      </c>
    </row>
    <row r="122" spans="1:6">
      <c r="A122" s="5">
        <f t="shared" si="10"/>
        <v>111</v>
      </c>
      <c r="B122" s="6">
        <f t="shared" si="11"/>
        <v>14632.316615455777</v>
      </c>
      <c r="C122" s="6">
        <f t="shared" si="6"/>
        <v>281.18154828615945</v>
      </c>
      <c r="D122" s="6">
        <f t="shared" si="7"/>
        <v>54.871187307959161</v>
      </c>
      <c r="E122" s="6">
        <f t="shared" si="8"/>
        <v>226.31036097820029</v>
      </c>
      <c r="F122" s="6">
        <f t="shared" si="9"/>
        <v>14406.006254477576</v>
      </c>
    </row>
    <row r="123" spans="1:6">
      <c r="A123" s="5">
        <f t="shared" si="10"/>
        <v>112</v>
      </c>
      <c r="B123" s="6">
        <f t="shared" si="11"/>
        <v>14406.006254477576</v>
      </c>
      <c r="C123" s="6">
        <f t="shared" si="6"/>
        <v>281.18154828615945</v>
      </c>
      <c r="D123" s="6">
        <f t="shared" si="7"/>
        <v>54.022523454290905</v>
      </c>
      <c r="E123" s="6">
        <f t="shared" si="8"/>
        <v>227.15902483186855</v>
      </c>
      <c r="F123" s="6">
        <f t="shared" si="9"/>
        <v>14178.847229645708</v>
      </c>
    </row>
    <row r="124" spans="1:6">
      <c r="A124" s="5">
        <f t="shared" si="10"/>
        <v>113</v>
      </c>
      <c r="B124" s="6">
        <f t="shared" si="11"/>
        <v>14178.847229645708</v>
      </c>
      <c r="C124" s="6">
        <f t="shared" si="6"/>
        <v>281.18154828615945</v>
      </c>
      <c r="D124" s="6">
        <f t="shared" si="7"/>
        <v>53.170677111171408</v>
      </c>
      <c r="E124" s="6">
        <f t="shared" si="8"/>
        <v>228.01087117498804</v>
      </c>
      <c r="F124" s="6">
        <f t="shared" si="9"/>
        <v>13950.83635847072</v>
      </c>
    </row>
    <row r="125" spans="1:6">
      <c r="A125" s="5">
        <f t="shared" si="10"/>
        <v>114</v>
      </c>
      <c r="B125" s="6">
        <f t="shared" si="11"/>
        <v>13950.83635847072</v>
      </c>
      <c r="C125" s="6">
        <f t="shared" si="6"/>
        <v>281.18154828615945</v>
      </c>
      <c r="D125" s="6">
        <f t="shared" si="7"/>
        <v>52.315636344265194</v>
      </c>
      <c r="E125" s="6">
        <f t="shared" si="8"/>
        <v>228.86591194189427</v>
      </c>
      <c r="F125" s="6">
        <f t="shared" si="9"/>
        <v>13721.970446528827</v>
      </c>
    </row>
    <row r="126" spans="1:6">
      <c r="A126" s="5">
        <f t="shared" si="10"/>
        <v>115</v>
      </c>
      <c r="B126" s="6">
        <f t="shared" si="11"/>
        <v>13721.970446528827</v>
      </c>
      <c r="C126" s="6">
        <f t="shared" si="6"/>
        <v>281.18154828615945</v>
      </c>
      <c r="D126" s="6">
        <f t="shared" si="7"/>
        <v>51.457389174483097</v>
      </c>
      <c r="E126" s="6">
        <f t="shared" si="8"/>
        <v>229.72415911167636</v>
      </c>
      <c r="F126" s="6">
        <f t="shared" si="9"/>
        <v>13492.246287417151</v>
      </c>
    </row>
    <row r="127" spans="1:6">
      <c r="A127" s="5">
        <f t="shared" si="10"/>
        <v>116</v>
      </c>
      <c r="B127" s="6">
        <f t="shared" si="11"/>
        <v>13492.246287417151</v>
      </c>
      <c r="C127" s="6">
        <f t="shared" si="6"/>
        <v>281.18154828615945</v>
      </c>
      <c r="D127" s="6">
        <f t="shared" si="7"/>
        <v>50.595923577814311</v>
      </c>
      <c r="E127" s="6">
        <f t="shared" si="8"/>
        <v>230.58562470834514</v>
      </c>
      <c r="F127" s="6">
        <f t="shared" si="9"/>
        <v>13261.660662708806</v>
      </c>
    </row>
    <row r="128" spans="1:6">
      <c r="A128" s="5">
        <f t="shared" si="10"/>
        <v>117</v>
      </c>
      <c r="B128" s="6">
        <f t="shared" si="11"/>
        <v>13261.660662708806</v>
      </c>
      <c r="C128" s="6">
        <f t="shared" si="6"/>
        <v>281.18154828615945</v>
      </c>
      <c r="D128" s="6">
        <f t="shared" si="7"/>
        <v>49.731227485158023</v>
      </c>
      <c r="E128" s="6">
        <f t="shared" si="8"/>
        <v>231.45032080100142</v>
      </c>
      <c r="F128" s="6">
        <f t="shared" si="9"/>
        <v>13030.210341907805</v>
      </c>
    </row>
    <row r="129" spans="1:6">
      <c r="A129" s="5">
        <f t="shared" si="10"/>
        <v>118</v>
      </c>
      <c r="B129" s="6">
        <f t="shared" si="11"/>
        <v>13030.210341907805</v>
      </c>
      <c r="C129" s="6">
        <f t="shared" si="6"/>
        <v>281.18154828615945</v>
      </c>
      <c r="D129" s="6">
        <f t="shared" si="7"/>
        <v>48.863288782154264</v>
      </c>
      <c r="E129" s="6">
        <f t="shared" si="8"/>
        <v>232.3182595040052</v>
      </c>
      <c r="F129" s="6">
        <f t="shared" si="9"/>
        <v>12797.8920824038</v>
      </c>
    </row>
    <row r="130" spans="1:6">
      <c r="A130" s="5">
        <f t="shared" si="10"/>
        <v>119</v>
      </c>
      <c r="B130" s="6">
        <f t="shared" si="11"/>
        <v>12797.8920824038</v>
      </c>
      <c r="C130" s="6">
        <f t="shared" si="6"/>
        <v>281.18154828615945</v>
      </c>
      <c r="D130" s="6">
        <f t="shared" si="7"/>
        <v>47.992095309014246</v>
      </c>
      <c r="E130" s="6">
        <f t="shared" si="8"/>
        <v>233.18945297714521</v>
      </c>
      <c r="F130" s="6">
        <f t="shared" si="9"/>
        <v>12564.702629426654</v>
      </c>
    </row>
    <row r="131" spans="1:6">
      <c r="A131" s="5">
        <f t="shared" si="10"/>
        <v>120</v>
      </c>
      <c r="B131" s="6">
        <f t="shared" si="11"/>
        <v>12564.702629426654</v>
      </c>
      <c r="C131" s="6">
        <f t="shared" si="6"/>
        <v>281.18154828615945</v>
      </c>
      <c r="D131" s="6">
        <f t="shared" si="7"/>
        <v>47.117634860349945</v>
      </c>
      <c r="E131" s="6">
        <f t="shared" si="8"/>
        <v>234.06391342580952</v>
      </c>
      <c r="F131" s="6">
        <f t="shared" si="9"/>
        <v>12330.638716000845</v>
      </c>
    </row>
    <row r="132" spans="1:6">
      <c r="A132" s="5">
        <f t="shared" si="10"/>
        <v>121</v>
      </c>
      <c r="B132" s="6">
        <f t="shared" si="11"/>
        <v>12330.638716000845</v>
      </c>
      <c r="C132" s="6">
        <f t="shared" si="6"/>
        <v>281.18154828615945</v>
      </c>
      <c r="D132" s="6">
        <f t="shared" si="7"/>
        <v>46.239895185003171</v>
      </c>
      <c r="E132" s="6">
        <f t="shared" si="8"/>
        <v>234.94165310115628</v>
      </c>
      <c r="F132" s="6">
        <f t="shared" si="9"/>
        <v>12095.69706289969</v>
      </c>
    </row>
    <row r="133" spans="1:6">
      <c r="A133" s="5">
        <f t="shared" si="10"/>
        <v>122</v>
      </c>
      <c r="B133" s="6">
        <f t="shared" si="11"/>
        <v>12095.69706289969</v>
      </c>
      <c r="C133" s="6">
        <f t="shared" si="6"/>
        <v>281.18154828615945</v>
      </c>
      <c r="D133" s="6">
        <f t="shared" si="7"/>
        <v>45.358863985873832</v>
      </c>
      <c r="E133" s="6">
        <f t="shared" si="8"/>
        <v>235.82268430028563</v>
      </c>
      <c r="F133" s="6">
        <f t="shared" si="9"/>
        <v>11859.874378599405</v>
      </c>
    </row>
    <row r="134" spans="1:6">
      <c r="A134" s="5">
        <f t="shared" si="10"/>
        <v>123</v>
      </c>
      <c r="B134" s="6">
        <f t="shared" si="11"/>
        <v>11859.874378599405</v>
      </c>
      <c r="C134" s="6">
        <f t="shared" si="6"/>
        <v>281.18154828615945</v>
      </c>
      <c r="D134" s="6">
        <f t="shared" si="7"/>
        <v>44.474528919747769</v>
      </c>
      <c r="E134" s="6">
        <f t="shared" si="8"/>
        <v>236.70701936641169</v>
      </c>
      <c r="F134" s="6">
        <f t="shared" si="9"/>
        <v>11623.167359232993</v>
      </c>
    </row>
    <row r="135" spans="1:6">
      <c r="A135" s="5">
        <f t="shared" si="10"/>
        <v>124</v>
      </c>
      <c r="B135" s="6">
        <f t="shared" si="11"/>
        <v>11623.167359232993</v>
      </c>
      <c r="C135" s="6">
        <f t="shared" si="6"/>
        <v>281.18154828615945</v>
      </c>
      <c r="D135" s="6">
        <f t="shared" si="7"/>
        <v>43.586877597123724</v>
      </c>
      <c r="E135" s="6">
        <f t="shared" si="8"/>
        <v>237.59467068903572</v>
      </c>
      <c r="F135" s="6">
        <f t="shared" si="9"/>
        <v>11385.572688543958</v>
      </c>
    </row>
    <row r="136" spans="1:6">
      <c r="A136" s="5">
        <f t="shared" si="10"/>
        <v>125</v>
      </c>
      <c r="B136" s="6">
        <f t="shared" si="11"/>
        <v>11385.572688543958</v>
      </c>
      <c r="C136" s="6">
        <f t="shared" si="6"/>
        <v>281.18154828615945</v>
      </c>
      <c r="D136" s="6">
        <f t="shared" si="7"/>
        <v>42.695897582039841</v>
      </c>
      <c r="E136" s="6">
        <f t="shared" si="8"/>
        <v>238.48565070411962</v>
      </c>
      <c r="F136" s="6">
        <f t="shared" si="9"/>
        <v>11147.087037839838</v>
      </c>
    </row>
    <row r="137" spans="1:6">
      <c r="A137" s="5">
        <f t="shared" si="10"/>
        <v>126</v>
      </c>
      <c r="B137" s="6">
        <f t="shared" si="11"/>
        <v>11147.087037839838</v>
      </c>
      <c r="C137" s="6">
        <f t="shared" si="6"/>
        <v>281.18154828615945</v>
      </c>
      <c r="D137" s="6">
        <f t="shared" si="7"/>
        <v>41.801576391899388</v>
      </c>
      <c r="E137" s="6">
        <f t="shared" si="8"/>
        <v>239.37997189426005</v>
      </c>
      <c r="F137" s="6">
        <f t="shared" si="9"/>
        <v>10907.707065945579</v>
      </c>
    </row>
    <row r="138" spans="1:6">
      <c r="A138" s="5">
        <f t="shared" si="10"/>
        <v>127</v>
      </c>
      <c r="B138" s="6">
        <f t="shared" si="11"/>
        <v>10907.707065945579</v>
      </c>
      <c r="C138" s="6">
        <f t="shared" si="6"/>
        <v>281.18154828615945</v>
      </c>
      <c r="D138" s="6">
        <f t="shared" si="7"/>
        <v>40.903901497295919</v>
      </c>
      <c r="E138" s="6">
        <f t="shared" si="8"/>
        <v>240.27764678886354</v>
      </c>
      <c r="F138" s="6">
        <f t="shared" si="9"/>
        <v>10667.429419156715</v>
      </c>
    </row>
    <row r="139" spans="1:6">
      <c r="A139" s="5">
        <f t="shared" si="10"/>
        <v>128</v>
      </c>
      <c r="B139" s="6">
        <f t="shared" si="11"/>
        <v>10667.429419156715</v>
      </c>
      <c r="C139" s="6">
        <f t="shared" si="6"/>
        <v>281.18154828615945</v>
      </c>
      <c r="D139" s="6">
        <f t="shared" si="7"/>
        <v>40.00286032183768</v>
      </c>
      <c r="E139" s="6">
        <f t="shared" si="8"/>
        <v>241.17868796432177</v>
      </c>
      <c r="F139" s="6">
        <f t="shared" si="9"/>
        <v>10426.250731192393</v>
      </c>
    </row>
    <row r="140" spans="1:6">
      <c r="A140" s="5">
        <f t="shared" si="10"/>
        <v>129</v>
      </c>
      <c r="B140" s="6">
        <f t="shared" si="11"/>
        <v>10426.250731192393</v>
      </c>
      <c r="C140" s="6">
        <f t="shared" ref="C140:C203" si="12">IF(A140="","",$B$8)</f>
        <v>281.18154828615945</v>
      </c>
      <c r="D140" s="6">
        <f t="shared" ref="D140:D203" si="13">IF(A140="","",B140*$B$4/$B$6)</f>
        <v>39.098440241971467</v>
      </c>
      <c r="E140" s="6">
        <f t="shared" ref="E140:E203" si="14">IF(A140="","",C140-D140)</f>
        <v>242.08310804418798</v>
      </c>
      <c r="F140" s="6">
        <f t="shared" ref="F140:F203" si="15">IF(A140="","",B140-E140)</f>
        <v>10184.167623148205</v>
      </c>
    </row>
    <row r="141" spans="1:6">
      <c r="A141" s="5">
        <f t="shared" ref="A141:A204" si="16">IF(A140&lt;$B$9,A140+1,IF(ROW()=12,1,""))</f>
        <v>130</v>
      </c>
      <c r="B141" s="6">
        <f t="shared" ref="B141:B204" si="17">IF(A141="","",F140)</f>
        <v>10184.167623148205</v>
      </c>
      <c r="C141" s="6">
        <f t="shared" si="12"/>
        <v>281.18154828615945</v>
      </c>
      <c r="D141" s="6">
        <f t="shared" si="13"/>
        <v>38.190628586805765</v>
      </c>
      <c r="E141" s="6">
        <f t="shared" si="14"/>
        <v>242.9909196993537</v>
      </c>
      <c r="F141" s="6">
        <f t="shared" si="15"/>
        <v>9941.1767034488512</v>
      </c>
    </row>
    <row r="142" spans="1:6">
      <c r="A142" s="5">
        <f t="shared" si="16"/>
        <v>131</v>
      </c>
      <c r="B142" s="6">
        <f t="shared" si="17"/>
        <v>9941.1767034488512</v>
      </c>
      <c r="C142" s="6">
        <f t="shared" si="12"/>
        <v>281.18154828615945</v>
      </c>
      <c r="D142" s="6">
        <f t="shared" si="13"/>
        <v>37.279412637933191</v>
      </c>
      <c r="E142" s="6">
        <f t="shared" si="14"/>
        <v>243.90213564822625</v>
      </c>
      <c r="F142" s="6">
        <f t="shared" si="15"/>
        <v>9697.2745678006249</v>
      </c>
    </row>
    <row r="143" spans="1:6">
      <c r="A143" s="5">
        <f t="shared" si="16"/>
        <v>132</v>
      </c>
      <c r="B143" s="6">
        <f t="shared" si="17"/>
        <v>9697.2745678006249</v>
      </c>
      <c r="C143" s="6">
        <f t="shared" si="12"/>
        <v>281.18154828615945</v>
      </c>
      <c r="D143" s="6">
        <f t="shared" si="13"/>
        <v>36.364779629252347</v>
      </c>
      <c r="E143" s="6">
        <f t="shared" si="14"/>
        <v>244.8167686569071</v>
      </c>
      <c r="F143" s="6">
        <f t="shared" si="15"/>
        <v>9452.4577991437181</v>
      </c>
    </row>
    <row r="144" spans="1:6">
      <c r="A144" s="5">
        <f t="shared" si="16"/>
        <v>133</v>
      </c>
      <c r="B144" s="6">
        <f t="shared" si="17"/>
        <v>9452.4577991437181</v>
      </c>
      <c r="C144" s="6">
        <f t="shared" si="12"/>
        <v>281.18154828615945</v>
      </c>
      <c r="D144" s="6">
        <f t="shared" si="13"/>
        <v>35.446716746788944</v>
      </c>
      <c r="E144" s="6">
        <f t="shared" si="14"/>
        <v>245.7348315393705</v>
      </c>
      <c r="F144" s="6">
        <f t="shared" si="15"/>
        <v>9206.722967604348</v>
      </c>
    </row>
    <row r="145" spans="1:6">
      <c r="A145" s="5">
        <f t="shared" si="16"/>
        <v>134</v>
      </c>
      <c r="B145" s="6">
        <f t="shared" si="17"/>
        <v>9206.722967604348</v>
      </c>
      <c r="C145" s="6">
        <f t="shared" si="12"/>
        <v>281.18154828615945</v>
      </c>
      <c r="D145" s="6">
        <f t="shared" si="13"/>
        <v>34.525211128516304</v>
      </c>
      <c r="E145" s="6">
        <f t="shared" si="14"/>
        <v>246.65633715764315</v>
      </c>
      <c r="F145" s="6">
        <f t="shared" si="15"/>
        <v>8960.0666304467049</v>
      </c>
    </row>
    <row r="146" spans="1:6">
      <c r="A146" s="5">
        <f t="shared" si="16"/>
        <v>135</v>
      </c>
      <c r="B146" s="6">
        <f t="shared" si="17"/>
        <v>8960.0666304467049</v>
      </c>
      <c r="C146" s="6">
        <f t="shared" si="12"/>
        <v>281.18154828615945</v>
      </c>
      <c r="D146" s="6">
        <f t="shared" si="13"/>
        <v>33.60024986417514</v>
      </c>
      <c r="E146" s="6">
        <f t="shared" si="14"/>
        <v>247.58129842198431</v>
      </c>
      <c r="F146" s="6">
        <f t="shared" si="15"/>
        <v>8712.4853320247203</v>
      </c>
    </row>
    <row r="147" spans="1:6">
      <c r="A147" s="5">
        <f t="shared" si="16"/>
        <v>136</v>
      </c>
      <c r="B147" s="6">
        <f t="shared" si="17"/>
        <v>8712.4853320247203</v>
      </c>
      <c r="C147" s="6">
        <f t="shared" si="12"/>
        <v>281.18154828615945</v>
      </c>
      <c r="D147" s="6">
        <f t="shared" si="13"/>
        <v>32.671819995092697</v>
      </c>
      <c r="E147" s="6">
        <f t="shared" si="14"/>
        <v>248.50972829106675</v>
      </c>
      <c r="F147" s="6">
        <f t="shared" si="15"/>
        <v>8463.9756037336538</v>
      </c>
    </row>
    <row r="148" spans="1:6">
      <c r="A148" s="5">
        <f t="shared" si="16"/>
        <v>137</v>
      </c>
      <c r="B148" s="6">
        <f t="shared" si="17"/>
        <v>8463.9756037336538</v>
      </c>
      <c r="C148" s="6">
        <f t="shared" si="12"/>
        <v>281.18154828615945</v>
      </c>
      <c r="D148" s="6">
        <f t="shared" si="13"/>
        <v>31.739908514001201</v>
      </c>
      <c r="E148" s="6">
        <f t="shared" si="14"/>
        <v>249.44163977215825</v>
      </c>
      <c r="F148" s="6">
        <f t="shared" si="15"/>
        <v>8214.5339639614958</v>
      </c>
    </row>
    <row r="149" spans="1:6">
      <c r="A149" s="5">
        <f t="shared" si="16"/>
        <v>138</v>
      </c>
      <c r="B149" s="6">
        <f t="shared" si="17"/>
        <v>8214.5339639614958</v>
      </c>
      <c r="C149" s="6">
        <f t="shared" si="12"/>
        <v>281.18154828615945</v>
      </c>
      <c r="D149" s="6">
        <f t="shared" si="13"/>
        <v>30.804502364855608</v>
      </c>
      <c r="E149" s="6">
        <f t="shared" si="14"/>
        <v>250.37704592130385</v>
      </c>
      <c r="F149" s="6">
        <f t="shared" si="15"/>
        <v>7964.1569180401921</v>
      </c>
    </row>
    <row r="150" spans="1:6">
      <c r="A150" s="5">
        <f t="shared" si="16"/>
        <v>139</v>
      </c>
      <c r="B150" s="6">
        <f t="shared" si="17"/>
        <v>7964.1569180401921</v>
      </c>
      <c r="C150" s="6">
        <f t="shared" si="12"/>
        <v>281.18154828615945</v>
      </c>
      <c r="D150" s="6">
        <f t="shared" si="13"/>
        <v>29.865588442650719</v>
      </c>
      <c r="E150" s="6">
        <f t="shared" si="14"/>
        <v>251.31595984350872</v>
      </c>
      <c r="F150" s="6">
        <f t="shared" si="15"/>
        <v>7712.8409581966835</v>
      </c>
    </row>
    <row r="151" spans="1:6">
      <c r="A151" s="5">
        <f t="shared" si="16"/>
        <v>140</v>
      </c>
      <c r="B151" s="6">
        <f t="shared" si="17"/>
        <v>7712.8409581966835</v>
      </c>
      <c r="C151" s="6">
        <f t="shared" si="12"/>
        <v>281.18154828615945</v>
      </c>
      <c r="D151" s="6">
        <f t="shared" si="13"/>
        <v>28.923153593237561</v>
      </c>
      <c r="E151" s="6">
        <f t="shared" si="14"/>
        <v>252.25839469292188</v>
      </c>
      <c r="F151" s="6">
        <f t="shared" si="15"/>
        <v>7460.5825635037618</v>
      </c>
    </row>
    <row r="152" spans="1:6">
      <c r="A152" s="5">
        <f t="shared" si="16"/>
        <v>141</v>
      </c>
      <c r="B152" s="6">
        <f t="shared" si="17"/>
        <v>7460.5825635037618</v>
      </c>
      <c r="C152" s="6">
        <f t="shared" si="12"/>
        <v>281.18154828615945</v>
      </c>
      <c r="D152" s="6">
        <f t="shared" si="13"/>
        <v>27.977184613139105</v>
      </c>
      <c r="E152" s="6">
        <f t="shared" si="14"/>
        <v>253.20436367302034</v>
      </c>
      <c r="F152" s="6">
        <f t="shared" si="15"/>
        <v>7207.3781998307413</v>
      </c>
    </row>
    <row r="153" spans="1:6">
      <c r="A153" s="5">
        <f t="shared" si="16"/>
        <v>142</v>
      </c>
      <c r="B153" s="6">
        <f t="shared" si="17"/>
        <v>7207.3781998307413</v>
      </c>
      <c r="C153" s="6">
        <f t="shared" si="12"/>
        <v>281.18154828615945</v>
      </c>
      <c r="D153" s="6">
        <f t="shared" si="13"/>
        <v>27.027668249365277</v>
      </c>
      <c r="E153" s="6">
        <f t="shared" si="14"/>
        <v>254.15388003679419</v>
      </c>
      <c r="F153" s="6">
        <f t="shared" si="15"/>
        <v>6953.224319793947</v>
      </c>
    </row>
    <row r="154" spans="1:6">
      <c r="A154" s="5">
        <f t="shared" si="16"/>
        <v>143</v>
      </c>
      <c r="B154" s="6">
        <f t="shared" si="17"/>
        <v>6953.224319793947</v>
      </c>
      <c r="C154" s="6">
        <f t="shared" si="12"/>
        <v>281.18154828615945</v>
      </c>
      <c r="D154" s="6">
        <f t="shared" si="13"/>
        <v>26.074591199227299</v>
      </c>
      <c r="E154" s="6">
        <f t="shared" si="14"/>
        <v>255.10695708693214</v>
      </c>
      <c r="F154" s="6">
        <f t="shared" si="15"/>
        <v>6698.1173627070148</v>
      </c>
    </row>
    <row r="155" spans="1:6">
      <c r="A155" s="5">
        <f t="shared" si="16"/>
        <v>144</v>
      </c>
      <c r="B155" s="6">
        <f t="shared" si="17"/>
        <v>6698.1173627070148</v>
      </c>
      <c r="C155" s="6">
        <f t="shared" si="12"/>
        <v>281.18154828615945</v>
      </c>
      <c r="D155" s="6">
        <f t="shared" si="13"/>
        <v>25.117940110151306</v>
      </c>
      <c r="E155" s="6">
        <f t="shared" si="14"/>
        <v>256.06360817600813</v>
      </c>
      <c r="F155" s="6">
        <f t="shared" si="15"/>
        <v>6442.0537545310062</v>
      </c>
    </row>
    <row r="156" spans="1:6">
      <c r="A156" s="5">
        <f t="shared" si="16"/>
        <v>145</v>
      </c>
      <c r="B156" s="6">
        <f t="shared" si="17"/>
        <v>6442.0537545310062</v>
      </c>
      <c r="C156" s="6">
        <f t="shared" si="12"/>
        <v>281.18154828615945</v>
      </c>
      <c r="D156" s="6">
        <f t="shared" si="13"/>
        <v>24.157701579491274</v>
      </c>
      <c r="E156" s="6">
        <f t="shared" si="14"/>
        <v>257.02384670666817</v>
      </c>
      <c r="F156" s="6">
        <f t="shared" si="15"/>
        <v>6185.0299078243379</v>
      </c>
    </row>
    <row r="157" spans="1:6">
      <c r="A157" s="5">
        <f t="shared" si="16"/>
        <v>146</v>
      </c>
      <c r="B157" s="6">
        <f t="shared" si="17"/>
        <v>6185.0299078243379</v>
      </c>
      <c r="C157" s="6">
        <f t="shared" si="12"/>
        <v>281.18154828615945</v>
      </c>
      <c r="D157" s="6">
        <f t="shared" si="13"/>
        <v>23.193862154341264</v>
      </c>
      <c r="E157" s="6">
        <f t="shared" si="14"/>
        <v>257.98768613181818</v>
      </c>
      <c r="F157" s="6">
        <f t="shared" si="15"/>
        <v>5927.0422216925199</v>
      </c>
    </row>
    <row r="158" spans="1:6">
      <c r="A158" s="5">
        <f t="shared" si="16"/>
        <v>147</v>
      </c>
      <c r="B158" s="6">
        <f t="shared" si="17"/>
        <v>5927.0422216925199</v>
      </c>
      <c r="C158" s="6">
        <f t="shared" si="12"/>
        <v>281.18154828615945</v>
      </c>
      <c r="D158" s="6">
        <f t="shared" si="13"/>
        <v>22.226408331346949</v>
      </c>
      <c r="E158" s="6">
        <f t="shared" si="14"/>
        <v>258.95513995481252</v>
      </c>
      <c r="F158" s="6">
        <f t="shared" si="15"/>
        <v>5668.0870817377072</v>
      </c>
    </row>
    <row r="159" spans="1:6">
      <c r="A159" s="5">
        <f t="shared" si="16"/>
        <v>148</v>
      </c>
      <c r="B159" s="6">
        <f t="shared" si="17"/>
        <v>5668.0870817377072</v>
      </c>
      <c r="C159" s="6">
        <f t="shared" si="12"/>
        <v>281.18154828615945</v>
      </c>
      <c r="D159" s="6">
        <f t="shared" si="13"/>
        <v>21.255326556516401</v>
      </c>
      <c r="E159" s="6">
        <f t="shared" si="14"/>
        <v>259.92622172964303</v>
      </c>
      <c r="F159" s="6">
        <f t="shared" si="15"/>
        <v>5408.1608600080644</v>
      </c>
    </row>
    <row r="160" spans="1:6">
      <c r="A160" s="5">
        <f t="shared" si="16"/>
        <v>149</v>
      </c>
      <c r="B160" s="6">
        <f t="shared" si="17"/>
        <v>5408.1608600080644</v>
      </c>
      <c r="C160" s="6">
        <f t="shared" si="12"/>
        <v>281.18154828615945</v>
      </c>
      <c r="D160" s="6">
        <f t="shared" si="13"/>
        <v>20.280603225030241</v>
      </c>
      <c r="E160" s="6">
        <f t="shared" si="14"/>
        <v>260.90094506112922</v>
      </c>
      <c r="F160" s="6">
        <f t="shared" si="15"/>
        <v>5147.2599149469352</v>
      </c>
    </row>
    <row r="161" spans="1:6">
      <c r="A161" s="5">
        <f t="shared" si="16"/>
        <v>150</v>
      </c>
      <c r="B161" s="6">
        <f t="shared" si="17"/>
        <v>5147.2599149469352</v>
      </c>
      <c r="C161" s="6">
        <f t="shared" si="12"/>
        <v>281.18154828615945</v>
      </c>
      <c r="D161" s="6">
        <f t="shared" si="13"/>
        <v>19.302224681051005</v>
      </c>
      <c r="E161" s="6">
        <f t="shared" si="14"/>
        <v>261.87932360510842</v>
      </c>
      <c r="F161" s="6">
        <f t="shared" si="15"/>
        <v>4885.3805913418264</v>
      </c>
    </row>
    <row r="162" spans="1:6">
      <c r="A162" s="5">
        <f t="shared" si="16"/>
        <v>151</v>
      </c>
      <c r="B162" s="6">
        <f t="shared" si="17"/>
        <v>4885.3805913418264</v>
      </c>
      <c r="C162" s="6">
        <f t="shared" si="12"/>
        <v>281.18154828615945</v>
      </c>
      <c r="D162" s="6">
        <f t="shared" si="13"/>
        <v>18.320177217531846</v>
      </c>
      <c r="E162" s="6">
        <f t="shared" si="14"/>
        <v>262.86137106862759</v>
      </c>
      <c r="F162" s="6">
        <f t="shared" si="15"/>
        <v>4622.5192202731987</v>
      </c>
    </row>
    <row r="163" spans="1:6">
      <c r="A163" s="5">
        <f t="shared" si="16"/>
        <v>152</v>
      </c>
      <c r="B163" s="6">
        <f t="shared" si="17"/>
        <v>4622.5192202731987</v>
      </c>
      <c r="C163" s="6">
        <f t="shared" si="12"/>
        <v>281.18154828615945</v>
      </c>
      <c r="D163" s="6">
        <f t="shared" si="13"/>
        <v>17.334447076024492</v>
      </c>
      <c r="E163" s="6">
        <f t="shared" si="14"/>
        <v>263.84710121013495</v>
      </c>
      <c r="F163" s="6">
        <f t="shared" si="15"/>
        <v>4358.6721190630633</v>
      </c>
    </row>
    <row r="164" spans="1:6">
      <c r="A164" s="5">
        <f t="shared" si="16"/>
        <v>153</v>
      </c>
      <c r="B164" s="6">
        <f t="shared" si="17"/>
        <v>4358.6721190630633</v>
      </c>
      <c r="C164" s="6">
        <f t="shared" si="12"/>
        <v>281.18154828615945</v>
      </c>
      <c r="D164" s="6">
        <f t="shared" si="13"/>
        <v>16.345020446486487</v>
      </c>
      <c r="E164" s="6">
        <f t="shared" si="14"/>
        <v>264.83652783967295</v>
      </c>
      <c r="F164" s="6">
        <f t="shared" si="15"/>
        <v>4093.8355912233901</v>
      </c>
    </row>
    <row r="165" spans="1:6">
      <c r="A165" s="5">
        <f t="shared" si="16"/>
        <v>154</v>
      </c>
      <c r="B165" s="6">
        <f t="shared" si="17"/>
        <v>4093.8355912233901</v>
      </c>
      <c r="C165" s="6">
        <f t="shared" si="12"/>
        <v>281.18154828615945</v>
      </c>
      <c r="D165" s="6">
        <f t="shared" si="13"/>
        <v>15.351883467087712</v>
      </c>
      <c r="E165" s="6">
        <f t="shared" si="14"/>
        <v>265.82966481907175</v>
      </c>
      <c r="F165" s="6">
        <f t="shared" si="15"/>
        <v>3828.0059264043184</v>
      </c>
    </row>
    <row r="166" spans="1:6">
      <c r="A166" s="5">
        <f t="shared" si="16"/>
        <v>155</v>
      </c>
      <c r="B166" s="6">
        <f t="shared" si="17"/>
        <v>3828.0059264043184</v>
      </c>
      <c r="C166" s="6">
        <f t="shared" si="12"/>
        <v>281.18154828615945</v>
      </c>
      <c r="D166" s="6">
        <f t="shared" si="13"/>
        <v>14.355022224016194</v>
      </c>
      <c r="E166" s="6">
        <f t="shared" si="14"/>
        <v>266.82652606214327</v>
      </c>
      <c r="F166" s="6">
        <f t="shared" si="15"/>
        <v>3561.1794003421751</v>
      </c>
    </row>
    <row r="167" spans="1:6">
      <c r="A167" s="5">
        <f t="shared" si="16"/>
        <v>156</v>
      </c>
      <c r="B167" s="6">
        <f t="shared" si="17"/>
        <v>3561.1794003421751</v>
      </c>
      <c r="C167" s="6">
        <f t="shared" si="12"/>
        <v>281.18154828615945</v>
      </c>
      <c r="D167" s="6">
        <f t="shared" si="13"/>
        <v>13.354422751283154</v>
      </c>
      <c r="E167" s="6">
        <f t="shared" si="14"/>
        <v>267.8271255348763</v>
      </c>
      <c r="F167" s="6">
        <f t="shared" si="15"/>
        <v>3293.3522748072987</v>
      </c>
    </row>
    <row r="168" spans="1:6">
      <c r="A168" s="5">
        <f t="shared" si="16"/>
        <v>157</v>
      </c>
      <c r="B168" s="6">
        <f t="shared" si="17"/>
        <v>3293.3522748072987</v>
      </c>
      <c r="C168" s="6">
        <f t="shared" si="12"/>
        <v>281.18154828615945</v>
      </c>
      <c r="D168" s="6">
        <f t="shared" si="13"/>
        <v>12.350071030527369</v>
      </c>
      <c r="E168" s="6">
        <f t="shared" si="14"/>
        <v>268.83147725563208</v>
      </c>
      <c r="F168" s="6">
        <f t="shared" si="15"/>
        <v>3024.5207975516669</v>
      </c>
    </row>
    <row r="169" spans="1:6">
      <c r="A169" s="5">
        <f t="shared" si="16"/>
        <v>158</v>
      </c>
      <c r="B169" s="6">
        <f t="shared" si="17"/>
        <v>3024.5207975516669</v>
      </c>
      <c r="C169" s="6">
        <f t="shared" si="12"/>
        <v>281.18154828615945</v>
      </c>
      <c r="D169" s="6">
        <f t="shared" si="13"/>
        <v>11.341952990818749</v>
      </c>
      <c r="E169" s="6">
        <f t="shared" si="14"/>
        <v>269.8395952953407</v>
      </c>
      <c r="F169" s="6">
        <f t="shared" si="15"/>
        <v>2754.6812022563263</v>
      </c>
    </row>
    <row r="170" spans="1:6">
      <c r="A170" s="5">
        <f t="shared" si="16"/>
        <v>159</v>
      </c>
      <c r="B170" s="6">
        <f t="shared" si="17"/>
        <v>2754.6812022563263</v>
      </c>
      <c r="C170" s="6">
        <f t="shared" si="12"/>
        <v>281.18154828615945</v>
      </c>
      <c r="D170" s="6">
        <f t="shared" si="13"/>
        <v>10.330054508461222</v>
      </c>
      <c r="E170" s="6">
        <f t="shared" si="14"/>
        <v>270.85149377769824</v>
      </c>
      <c r="F170" s="6">
        <f t="shared" si="15"/>
        <v>2483.8297084786282</v>
      </c>
    </row>
    <row r="171" spans="1:6">
      <c r="A171" s="5">
        <f t="shared" si="16"/>
        <v>160</v>
      </c>
      <c r="B171" s="6">
        <f t="shared" si="17"/>
        <v>2483.8297084786282</v>
      </c>
      <c r="C171" s="6">
        <f t="shared" si="12"/>
        <v>281.18154828615945</v>
      </c>
      <c r="D171" s="6">
        <f t="shared" si="13"/>
        <v>9.3143614067948555</v>
      </c>
      <c r="E171" s="6">
        <f t="shared" si="14"/>
        <v>271.86718687936462</v>
      </c>
      <c r="F171" s="6">
        <f t="shared" si="15"/>
        <v>2211.9625215992637</v>
      </c>
    </row>
    <row r="172" spans="1:6">
      <c r="A172" s="5">
        <f t="shared" si="16"/>
        <v>161</v>
      </c>
      <c r="B172" s="6">
        <f t="shared" si="17"/>
        <v>2211.9625215992637</v>
      </c>
      <c r="C172" s="6">
        <f t="shared" si="12"/>
        <v>281.18154828615945</v>
      </c>
      <c r="D172" s="6">
        <f t="shared" si="13"/>
        <v>8.2948594559972388</v>
      </c>
      <c r="E172" s="6">
        <f t="shared" si="14"/>
        <v>272.8866888301622</v>
      </c>
      <c r="F172" s="6">
        <f t="shared" si="15"/>
        <v>1939.0758327691015</v>
      </c>
    </row>
    <row r="173" spans="1:6">
      <c r="A173" s="5">
        <f t="shared" si="16"/>
        <v>162</v>
      </c>
      <c r="B173" s="6">
        <f t="shared" si="17"/>
        <v>1939.0758327691015</v>
      </c>
      <c r="C173" s="6">
        <f t="shared" si="12"/>
        <v>281.18154828615945</v>
      </c>
      <c r="D173" s="6">
        <f t="shared" si="13"/>
        <v>7.2715343728841297</v>
      </c>
      <c r="E173" s="6">
        <f t="shared" si="14"/>
        <v>273.91001391327535</v>
      </c>
      <c r="F173" s="6">
        <f t="shared" si="15"/>
        <v>1665.165818855826</v>
      </c>
    </row>
    <row r="174" spans="1:6">
      <c r="A174" s="5">
        <f t="shared" si="16"/>
        <v>163</v>
      </c>
      <c r="B174" s="6">
        <f t="shared" si="17"/>
        <v>1665.165818855826</v>
      </c>
      <c r="C174" s="6">
        <f t="shared" si="12"/>
        <v>281.18154828615945</v>
      </c>
      <c r="D174" s="6">
        <f t="shared" si="13"/>
        <v>6.2443718207093477</v>
      </c>
      <c r="E174" s="6">
        <f t="shared" si="14"/>
        <v>274.93717646545008</v>
      </c>
      <c r="F174" s="6">
        <f t="shared" si="15"/>
        <v>1390.2286423903761</v>
      </c>
    </row>
    <row r="175" spans="1:6">
      <c r="A175" s="5">
        <f t="shared" si="16"/>
        <v>164</v>
      </c>
      <c r="B175" s="6">
        <f t="shared" si="17"/>
        <v>1390.2286423903761</v>
      </c>
      <c r="C175" s="6">
        <f t="shared" si="12"/>
        <v>281.18154828615945</v>
      </c>
      <c r="D175" s="6">
        <f t="shared" si="13"/>
        <v>5.2133574089639101</v>
      </c>
      <c r="E175" s="6">
        <f t="shared" si="14"/>
        <v>275.96819087719552</v>
      </c>
      <c r="F175" s="6">
        <f t="shared" si="15"/>
        <v>1114.2604515131807</v>
      </c>
    </row>
    <row r="176" spans="1:6">
      <c r="A176" s="5">
        <f t="shared" si="16"/>
        <v>165</v>
      </c>
      <c r="B176" s="6">
        <f t="shared" si="17"/>
        <v>1114.2604515131807</v>
      </c>
      <c r="C176" s="6">
        <f t="shared" si="12"/>
        <v>281.18154828615945</v>
      </c>
      <c r="D176" s="6">
        <f t="shared" si="13"/>
        <v>4.178476693174427</v>
      </c>
      <c r="E176" s="6">
        <f t="shared" si="14"/>
        <v>277.00307159298501</v>
      </c>
      <c r="F176" s="6">
        <f t="shared" si="15"/>
        <v>837.25737992019572</v>
      </c>
    </row>
    <row r="177" spans="1:6">
      <c r="A177" s="5">
        <f t="shared" si="16"/>
        <v>166</v>
      </c>
      <c r="B177" s="6">
        <f t="shared" si="17"/>
        <v>837.25737992019572</v>
      </c>
      <c r="C177" s="6">
        <f t="shared" si="12"/>
        <v>281.18154828615945</v>
      </c>
      <c r="D177" s="6">
        <f t="shared" si="13"/>
        <v>3.1397151747007341</v>
      </c>
      <c r="E177" s="6">
        <f t="shared" si="14"/>
        <v>278.04183311145874</v>
      </c>
      <c r="F177" s="6">
        <f t="shared" si="15"/>
        <v>559.21554680873692</v>
      </c>
    </row>
    <row r="178" spans="1:6">
      <c r="A178" s="5">
        <f t="shared" si="16"/>
        <v>167</v>
      </c>
      <c r="B178" s="6">
        <f t="shared" si="17"/>
        <v>559.21554680873692</v>
      </c>
      <c r="C178" s="6">
        <f t="shared" si="12"/>
        <v>281.18154828615945</v>
      </c>
      <c r="D178" s="6">
        <f t="shared" si="13"/>
        <v>2.0970583005327632</v>
      </c>
      <c r="E178" s="6">
        <f t="shared" si="14"/>
        <v>279.0844899856267</v>
      </c>
      <c r="F178" s="6">
        <f t="shared" si="15"/>
        <v>280.13105682311021</v>
      </c>
    </row>
    <row r="179" spans="1:6">
      <c r="A179" s="5">
        <f t="shared" si="16"/>
        <v>168</v>
      </c>
      <c r="B179" s="6">
        <f t="shared" si="17"/>
        <v>280.13105682311021</v>
      </c>
      <c r="C179" s="6">
        <f t="shared" si="12"/>
        <v>281.18154828615945</v>
      </c>
      <c r="D179" s="6">
        <f t="shared" si="13"/>
        <v>1.0504914630866633</v>
      </c>
      <c r="E179" s="6">
        <f t="shared" si="14"/>
        <v>280.13105682307281</v>
      </c>
      <c r="F179" s="6">
        <f t="shared" si="15"/>
        <v>3.7402969610411674E-11</v>
      </c>
    </row>
    <row r="180" spans="1:6">
      <c r="A180" s="5" t="str">
        <f t="shared" si="16"/>
        <v/>
      </c>
      <c r="B180" s="6" t="str">
        <f t="shared" si="17"/>
        <v/>
      </c>
      <c r="C180" s="6" t="str">
        <f t="shared" si="12"/>
        <v/>
      </c>
      <c r="D180" s="6" t="str">
        <f t="shared" si="13"/>
        <v/>
      </c>
      <c r="E180" s="6" t="str">
        <f t="shared" si="14"/>
        <v/>
      </c>
      <c r="F180" s="6" t="str">
        <f t="shared" si="15"/>
        <v/>
      </c>
    </row>
    <row r="181" spans="1:6">
      <c r="A181" s="5" t="str">
        <f t="shared" si="16"/>
        <v/>
      </c>
      <c r="B181" s="6" t="str">
        <f t="shared" si="17"/>
        <v/>
      </c>
      <c r="C181" s="6" t="str">
        <f t="shared" si="12"/>
        <v/>
      </c>
      <c r="D181" s="6" t="str">
        <f t="shared" si="13"/>
        <v/>
      </c>
      <c r="E181" s="6" t="str">
        <f t="shared" si="14"/>
        <v/>
      </c>
      <c r="F181" s="6" t="str">
        <f t="shared" si="15"/>
        <v/>
      </c>
    </row>
    <row r="182" spans="1:6">
      <c r="A182" s="5" t="str">
        <f t="shared" si="16"/>
        <v/>
      </c>
      <c r="B182" s="6" t="str">
        <f t="shared" si="17"/>
        <v/>
      </c>
      <c r="C182" s="6" t="str">
        <f t="shared" si="12"/>
        <v/>
      </c>
      <c r="D182" s="6" t="str">
        <f t="shared" si="13"/>
        <v/>
      </c>
      <c r="E182" s="6" t="str">
        <f t="shared" si="14"/>
        <v/>
      </c>
      <c r="F182" s="6" t="str">
        <f t="shared" si="15"/>
        <v/>
      </c>
    </row>
    <row r="183" spans="1:6">
      <c r="A183" s="5" t="str">
        <f t="shared" si="16"/>
        <v/>
      </c>
      <c r="B183" s="6" t="str">
        <f t="shared" si="17"/>
        <v/>
      </c>
      <c r="C183" s="6" t="str">
        <f t="shared" si="12"/>
        <v/>
      </c>
      <c r="D183" s="6" t="str">
        <f t="shared" si="13"/>
        <v/>
      </c>
      <c r="E183" s="6" t="str">
        <f t="shared" si="14"/>
        <v/>
      </c>
      <c r="F183" s="6" t="str">
        <f t="shared" si="15"/>
        <v/>
      </c>
    </row>
    <row r="184" spans="1:6">
      <c r="A184" s="5" t="str">
        <f t="shared" si="16"/>
        <v/>
      </c>
      <c r="B184" s="6" t="str">
        <f t="shared" si="17"/>
        <v/>
      </c>
      <c r="C184" s="6" t="str">
        <f t="shared" si="12"/>
        <v/>
      </c>
      <c r="D184" s="6" t="str">
        <f t="shared" si="13"/>
        <v/>
      </c>
      <c r="E184" s="6" t="str">
        <f t="shared" si="14"/>
        <v/>
      </c>
      <c r="F184" s="6" t="str">
        <f t="shared" si="15"/>
        <v/>
      </c>
    </row>
    <row r="185" spans="1:6">
      <c r="A185" s="5" t="str">
        <f t="shared" si="16"/>
        <v/>
      </c>
      <c r="B185" s="6" t="str">
        <f t="shared" si="17"/>
        <v/>
      </c>
      <c r="C185" s="6" t="str">
        <f t="shared" si="12"/>
        <v/>
      </c>
      <c r="D185" s="6" t="str">
        <f t="shared" si="13"/>
        <v/>
      </c>
      <c r="E185" s="6" t="str">
        <f t="shared" si="14"/>
        <v/>
      </c>
      <c r="F185" s="6" t="str">
        <f t="shared" si="15"/>
        <v/>
      </c>
    </row>
    <row r="186" spans="1:6">
      <c r="A186" s="5" t="str">
        <f t="shared" si="16"/>
        <v/>
      </c>
      <c r="B186" s="6" t="str">
        <f t="shared" si="17"/>
        <v/>
      </c>
      <c r="C186" s="6" t="str">
        <f t="shared" si="12"/>
        <v/>
      </c>
      <c r="D186" s="6" t="str">
        <f t="shared" si="13"/>
        <v/>
      </c>
      <c r="E186" s="6" t="str">
        <f t="shared" si="14"/>
        <v/>
      </c>
      <c r="F186" s="6" t="str">
        <f t="shared" si="15"/>
        <v/>
      </c>
    </row>
    <row r="187" spans="1:6">
      <c r="A187" s="5" t="str">
        <f t="shared" si="16"/>
        <v/>
      </c>
      <c r="B187" s="6" t="str">
        <f t="shared" si="17"/>
        <v/>
      </c>
      <c r="C187" s="6" t="str">
        <f t="shared" si="12"/>
        <v/>
      </c>
      <c r="D187" s="6" t="str">
        <f t="shared" si="13"/>
        <v/>
      </c>
      <c r="E187" s="6" t="str">
        <f t="shared" si="14"/>
        <v/>
      </c>
      <c r="F187" s="6" t="str">
        <f t="shared" si="15"/>
        <v/>
      </c>
    </row>
    <row r="188" spans="1:6">
      <c r="A188" s="5" t="str">
        <f t="shared" si="16"/>
        <v/>
      </c>
      <c r="B188" s="6" t="str">
        <f t="shared" si="17"/>
        <v/>
      </c>
      <c r="C188" s="6" t="str">
        <f t="shared" si="12"/>
        <v/>
      </c>
      <c r="D188" s="6" t="str">
        <f t="shared" si="13"/>
        <v/>
      </c>
      <c r="E188" s="6" t="str">
        <f t="shared" si="14"/>
        <v/>
      </c>
      <c r="F188" s="6" t="str">
        <f t="shared" si="15"/>
        <v/>
      </c>
    </row>
    <row r="189" spans="1:6">
      <c r="A189" s="5" t="str">
        <f t="shared" si="16"/>
        <v/>
      </c>
      <c r="B189" s="6" t="str">
        <f t="shared" si="17"/>
        <v/>
      </c>
      <c r="C189" s="6" t="str">
        <f t="shared" si="12"/>
        <v/>
      </c>
      <c r="D189" s="6" t="str">
        <f t="shared" si="13"/>
        <v/>
      </c>
      <c r="E189" s="6" t="str">
        <f t="shared" si="14"/>
        <v/>
      </c>
      <c r="F189" s="6" t="str">
        <f t="shared" si="15"/>
        <v/>
      </c>
    </row>
    <row r="190" spans="1:6">
      <c r="A190" s="5" t="str">
        <f t="shared" si="16"/>
        <v/>
      </c>
      <c r="B190" s="6" t="str">
        <f t="shared" si="17"/>
        <v/>
      </c>
      <c r="C190" s="6" t="str">
        <f t="shared" si="12"/>
        <v/>
      </c>
      <c r="D190" s="6" t="str">
        <f t="shared" si="13"/>
        <v/>
      </c>
      <c r="E190" s="6" t="str">
        <f t="shared" si="14"/>
        <v/>
      </c>
      <c r="F190" s="6" t="str">
        <f t="shared" si="15"/>
        <v/>
      </c>
    </row>
    <row r="191" spans="1:6">
      <c r="A191" s="5" t="str">
        <f t="shared" si="16"/>
        <v/>
      </c>
      <c r="B191" s="6" t="str">
        <f t="shared" si="17"/>
        <v/>
      </c>
      <c r="C191" s="6" t="str">
        <f t="shared" si="12"/>
        <v/>
      </c>
      <c r="D191" s="6" t="str">
        <f t="shared" si="13"/>
        <v/>
      </c>
      <c r="E191" s="6" t="str">
        <f t="shared" si="14"/>
        <v/>
      </c>
      <c r="F191" s="6" t="str">
        <f t="shared" si="15"/>
        <v/>
      </c>
    </row>
    <row r="192" spans="1:6">
      <c r="A192" s="5" t="str">
        <f t="shared" si="16"/>
        <v/>
      </c>
      <c r="B192" s="6" t="str">
        <f t="shared" si="17"/>
        <v/>
      </c>
      <c r="C192" s="6" t="str">
        <f t="shared" si="12"/>
        <v/>
      </c>
      <c r="D192" s="6" t="str">
        <f t="shared" si="13"/>
        <v/>
      </c>
      <c r="E192" s="6" t="str">
        <f t="shared" si="14"/>
        <v/>
      </c>
      <c r="F192" s="6" t="str">
        <f t="shared" si="15"/>
        <v/>
      </c>
    </row>
    <row r="193" spans="1:6">
      <c r="A193" s="5" t="str">
        <f t="shared" si="16"/>
        <v/>
      </c>
      <c r="B193" s="6" t="str">
        <f t="shared" si="17"/>
        <v/>
      </c>
      <c r="C193" s="6" t="str">
        <f t="shared" si="12"/>
        <v/>
      </c>
      <c r="D193" s="6" t="str">
        <f t="shared" si="13"/>
        <v/>
      </c>
      <c r="E193" s="6" t="str">
        <f t="shared" si="14"/>
        <v/>
      </c>
      <c r="F193" s="6" t="str">
        <f t="shared" si="15"/>
        <v/>
      </c>
    </row>
    <row r="194" spans="1:6">
      <c r="A194" s="5" t="str">
        <f t="shared" si="16"/>
        <v/>
      </c>
      <c r="B194" s="6" t="str">
        <f t="shared" si="17"/>
        <v/>
      </c>
      <c r="C194" s="6" t="str">
        <f t="shared" si="12"/>
        <v/>
      </c>
      <c r="D194" s="6" t="str">
        <f t="shared" si="13"/>
        <v/>
      </c>
      <c r="E194" s="6" t="str">
        <f t="shared" si="14"/>
        <v/>
      </c>
      <c r="F194" s="6" t="str">
        <f t="shared" si="15"/>
        <v/>
      </c>
    </row>
    <row r="195" spans="1:6">
      <c r="A195" s="5" t="str">
        <f t="shared" si="16"/>
        <v/>
      </c>
      <c r="B195" s="6" t="str">
        <f t="shared" si="17"/>
        <v/>
      </c>
      <c r="C195" s="6" t="str">
        <f t="shared" si="12"/>
        <v/>
      </c>
      <c r="D195" s="6" t="str">
        <f t="shared" si="13"/>
        <v/>
      </c>
      <c r="E195" s="6" t="str">
        <f t="shared" si="14"/>
        <v/>
      </c>
      <c r="F195" s="6" t="str">
        <f t="shared" si="15"/>
        <v/>
      </c>
    </row>
    <row r="196" spans="1:6">
      <c r="A196" s="5" t="str">
        <f t="shared" si="16"/>
        <v/>
      </c>
      <c r="B196" s="6" t="str">
        <f t="shared" si="17"/>
        <v/>
      </c>
      <c r="C196" s="6" t="str">
        <f t="shared" si="12"/>
        <v/>
      </c>
      <c r="D196" s="6" t="str">
        <f t="shared" si="13"/>
        <v/>
      </c>
      <c r="E196" s="6" t="str">
        <f t="shared" si="14"/>
        <v/>
      </c>
      <c r="F196" s="6" t="str">
        <f t="shared" si="15"/>
        <v/>
      </c>
    </row>
    <row r="197" spans="1:6">
      <c r="A197" s="5" t="str">
        <f t="shared" si="16"/>
        <v/>
      </c>
      <c r="B197" s="6" t="str">
        <f t="shared" si="17"/>
        <v/>
      </c>
      <c r="C197" s="6" t="str">
        <f t="shared" si="12"/>
        <v/>
      </c>
      <c r="D197" s="6" t="str">
        <f t="shared" si="13"/>
        <v/>
      </c>
      <c r="E197" s="6" t="str">
        <f t="shared" si="14"/>
        <v/>
      </c>
      <c r="F197" s="6" t="str">
        <f t="shared" si="15"/>
        <v/>
      </c>
    </row>
    <row r="198" spans="1:6">
      <c r="A198" s="5" t="str">
        <f t="shared" si="16"/>
        <v/>
      </c>
      <c r="B198" s="6" t="str">
        <f t="shared" si="17"/>
        <v/>
      </c>
      <c r="C198" s="6" t="str">
        <f t="shared" si="12"/>
        <v/>
      </c>
      <c r="D198" s="6" t="str">
        <f t="shared" si="13"/>
        <v/>
      </c>
      <c r="E198" s="6" t="str">
        <f t="shared" si="14"/>
        <v/>
      </c>
      <c r="F198" s="6" t="str">
        <f t="shared" si="15"/>
        <v/>
      </c>
    </row>
    <row r="199" spans="1:6">
      <c r="A199" s="5" t="str">
        <f t="shared" si="16"/>
        <v/>
      </c>
      <c r="B199" s="6" t="str">
        <f t="shared" si="17"/>
        <v/>
      </c>
      <c r="C199" s="6" t="str">
        <f t="shared" si="12"/>
        <v/>
      </c>
      <c r="D199" s="6" t="str">
        <f t="shared" si="13"/>
        <v/>
      </c>
      <c r="E199" s="6" t="str">
        <f t="shared" si="14"/>
        <v/>
      </c>
      <c r="F199" s="6" t="str">
        <f t="shared" si="15"/>
        <v/>
      </c>
    </row>
    <row r="200" spans="1:6">
      <c r="A200" s="5" t="str">
        <f t="shared" si="16"/>
        <v/>
      </c>
      <c r="B200" s="6" t="str">
        <f t="shared" si="17"/>
        <v/>
      </c>
      <c r="C200" s="6" t="str">
        <f t="shared" si="12"/>
        <v/>
      </c>
      <c r="D200" s="6" t="str">
        <f t="shared" si="13"/>
        <v/>
      </c>
      <c r="E200" s="6" t="str">
        <f t="shared" si="14"/>
        <v/>
      </c>
      <c r="F200" s="6" t="str">
        <f t="shared" si="15"/>
        <v/>
      </c>
    </row>
    <row r="201" spans="1:6">
      <c r="A201" s="5" t="str">
        <f t="shared" si="16"/>
        <v/>
      </c>
      <c r="B201" s="6" t="str">
        <f t="shared" si="17"/>
        <v/>
      </c>
      <c r="C201" s="6" t="str">
        <f t="shared" si="12"/>
        <v/>
      </c>
      <c r="D201" s="6" t="str">
        <f t="shared" si="13"/>
        <v/>
      </c>
      <c r="E201" s="6" t="str">
        <f t="shared" si="14"/>
        <v/>
      </c>
      <c r="F201" s="6" t="str">
        <f t="shared" si="15"/>
        <v/>
      </c>
    </row>
    <row r="202" spans="1:6">
      <c r="A202" s="5" t="str">
        <f t="shared" si="16"/>
        <v/>
      </c>
      <c r="B202" s="6" t="str">
        <f t="shared" si="17"/>
        <v/>
      </c>
      <c r="C202" s="6" t="str">
        <f t="shared" si="12"/>
        <v/>
      </c>
      <c r="D202" s="6" t="str">
        <f t="shared" si="13"/>
        <v/>
      </c>
      <c r="E202" s="6" t="str">
        <f t="shared" si="14"/>
        <v/>
      </c>
      <c r="F202" s="6" t="str">
        <f t="shared" si="15"/>
        <v/>
      </c>
    </row>
    <row r="203" spans="1:6">
      <c r="A203" s="5" t="str">
        <f t="shared" si="16"/>
        <v/>
      </c>
      <c r="B203" s="6" t="str">
        <f t="shared" si="17"/>
        <v/>
      </c>
      <c r="C203" s="6" t="str">
        <f t="shared" si="12"/>
        <v/>
      </c>
      <c r="D203" s="6" t="str">
        <f t="shared" si="13"/>
        <v/>
      </c>
      <c r="E203" s="6" t="str">
        <f t="shared" si="14"/>
        <v/>
      </c>
      <c r="F203" s="6" t="str">
        <f t="shared" si="15"/>
        <v/>
      </c>
    </row>
    <row r="204" spans="1:6">
      <c r="A204" s="5" t="str">
        <f t="shared" si="16"/>
        <v/>
      </c>
      <c r="B204" s="6" t="str">
        <f t="shared" si="17"/>
        <v/>
      </c>
      <c r="C204" s="6" t="str">
        <f t="shared" ref="C204:C267" si="18">IF(A204="","",$B$8)</f>
        <v/>
      </c>
      <c r="D204" s="6" t="str">
        <f t="shared" ref="D204:D267" si="19">IF(A204="","",B204*$B$4/$B$6)</f>
        <v/>
      </c>
      <c r="E204" s="6" t="str">
        <f t="shared" ref="E204:E267" si="20">IF(A204="","",C204-D204)</f>
        <v/>
      </c>
      <c r="F204" s="6" t="str">
        <f t="shared" ref="F204:F267" si="21">IF(A204="","",B204-E204)</f>
        <v/>
      </c>
    </row>
    <row r="205" spans="1:6">
      <c r="A205" s="5" t="str">
        <f t="shared" ref="A205:A268" si="22">IF(A204&lt;$B$9,A204+1,IF(ROW()=12,1,""))</f>
        <v/>
      </c>
      <c r="B205" s="6" t="str">
        <f t="shared" ref="B205:B268" si="23">IF(A205="","",F204)</f>
        <v/>
      </c>
      <c r="C205" s="6" t="str">
        <f t="shared" si="18"/>
        <v/>
      </c>
      <c r="D205" s="6" t="str">
        <f t="shared" si="19"/>
        <v/>
      </c>
      <c r="E205" s="6" t="str">
        <f t="shared" si="20"/>
        <v/>
      </c>
      <c r="F205" s="6" t="str">
        <f t="shared" si="21"/>
        <v/>
      </c>
    </row>
    <row r="206" spans="1:6">
      <c r="A206" s="5" t="str">
        <f t="shared" si="22"/>
        <v/>
      </c>
      <c r="B206" s="6" t="str">
        <f t="shared" si="23"/>
        <v/>
      </c>
      <c r="C206" s="6" t="str">
        <f t="shared" si="18"/>
        <v/>
      </c>
      <c r="D206" s="6" t="str">
        <f t="shared" si="19"/>
        <v/>
      </c>
      <c r="E206" s="6" t="str">
        <f t="shared" si="20"/>
        <v/>
      </c>
      <c r="F206" s="6" t="str">
        <f t="shared" si="21"/>
        <v/>
      </c>
    </row>
    <row r="207" spans="1:6">
      <c r="A207" s="5" t="str">
        <f t="shared" si="22"/>
        <v/>
      </c>
      <c r="B207" s="6" t="str">
        <f t="shared" si="23"/>
        <v/>
      </c>
      <c r="C207" s="6" t="str">
        <f t="shared" si="18"/>
        <v/>
      </c>
      <c r="D207" s="6" t="str">
        <f t="shared" si="19"/>
        <v/>
      </c>
      <c r="E207" s="6" t="str">
        <f t="shared" si="20"/>
        <v/>
      </c>
      <c r="F207" s="6" t="str">
        <f t="shared" si="21"/>
        <v/>
      </c>
    </row>
    <row r="208" spans="1:6">
      <c r="A208" s="5" t="str">
        <f t="shared" si="22"/>
        <v/>
      </c>
      <c r="B208" s="6" t="str">
        <f t="shared" si="23"/>
        <v/>
      </c>
      <c r="C208" s="6" t="str">
        <f t="shared" si="18"/>
        <v/>
      </c>
      <c r="D208" s="6" t="str">
        <f t="shared" si="19"/>
        <v/>
      </c>
      <c r="E208" s="6" t="str">
        <f t="shared" si="20"/>
        <v/>
      </c>
      <c r="F208" s="6" t="str">
        <f t="shared" si="21"/>
        <v/>
      </c>
    </row>
    <row r="209" spans="1:6">
      <c r="A209" s="5" t="str">
        <f t="shared" si="22"/>
        <v/>
      </c>
      <c r="B209" s="6" t="str">
        <f t="shared" si="23"/>
        <v/>
      </c>
      <c r="C209" s="6" t="str">
        <f t="shared" si="18"/>
        <v/>
      </c>
      <c r="D209" s="6" t="str">
        <f t="shared" si="19"/>
        <v/>
      </c>
      <c r="E209" s="6" t="str">
        <f t="shared" si="20"/>
        <v/>
      </c>
      <c r="F209" s="6" t="str">
        <f t="shared" si="21"/>
        <v/>
      </c>
    </row>
    <row r="210" spans="1:6">
      <c r="A210" s="5" t="str">
        <f t="shared" si="22"/>
        <v/>
      </c>
      <c r="B210" s="6" t="str">
        <f t="shared" si="23"/>
        <v/>
      </c>
      <c r="C210" s="6" t="str">
        <f t="shared" si="18"/>
        <v/>
      </c>
      <c r="D210" s="6" t="str">
        <f t="shared" si="19"/>
        <v/>
      </c>
      <c r="E210" s="6" t="str">
        <f t="shared" si="20"/>
        <v/>
      </c>
      <c r="F210" s="6" t="str">
        <f t="shared" si="21"/>
        <v/>
      </c>
    </row>
    <row r="211" spans="1:6">
      <c r="A211" s="5" t="str">
        <f t="shared" si="22"/>
        <v/>
      </c>
      <c r="B211" s="6" t="str">
        <f t="shared" si="23"/>
        <v/>
      </c>
      <c r="C211" s="6" t="str">
        <f t="shared" si="18"/>
        <v/>
      </c>
      <c r="D211" s="6" t="str">
        <f t="shared" si="19"/>
        <v/>
      </c>
      <c r="E211" s="6" t="str">
        <f t="shared" si="20"/>
        <v/>
      </c>
      <c r="F211" s="6" t="str">
        <f t="shared" si="21"/>
        <v/>
      </c>
    </row>
    <row r="212" spans="1:6">
      <c r="A212" s="5" t="str">
        <f t="shared" si="22"/>
        <v/>
      </c>
      <c r="B212" s="6" t="str">
        <f t="shared" si="23"/>
        <v/>
      </c>
      <c r="C212" s="6" t="str">
        <f t="shared" si="18"/>
        <v/>
      </c>
      <c r="D212" s="6" t="str">
        <f t="shared" si="19"/>
        <v/>
      </c>
      <c r="E212" s="6" t="str">
        <f t="shared" si="20"/>
        <v/>
      </c>
      <c r="F212" s="6" t="str">
        <f t="shared" si="21"/>
        <v/>
      </c>
    </row>
    <row r="213" spans="1:6">
      <c r="A213" s="5" t="str">
        <f t="shared" si="22"/>
        <v/>
      </c>
      <c r="B213" s="6" t="str">
        <f t="shared" si="23"/>
        <v/>
      </c>
      <c r="C213" s="6" t="str">
        <f t="shared" si="18"/>
        <v/>
      </c>
      <c r="D213" s="6" t="str">
        <f t="shared" si="19"/>
        <v/>
      </c>
      <c r="E213" s="6" t="str">
        <f t="shared" si="20"/>
        <v/>
      </c>
      <c r="F213" s="6" t="str">
        <f t="shared" si="21"/>
        <v/>
      </c>
    </row>
    <row r="214" spans="1:6">
      <c r="A214" s="5" t="str">
        <f t="shared" si="22"/>
        <v/>
      </c>
      <c r="B214" s="6" t="str">
        <f t="shared" si="23"/>
        <v/>
      </c>
      <c r="C214" s="6" t="str">
        <f t="shared" si="18"/>
        <v/>
      </c>
      <c r="D214" s="6" t="str">
        <f t="shared" si="19"/>
        <v/>
      </c>
      <c r="E214" s="6" t="str">
        <f t="shared" si="20"/>
        <v/>
      </c>
      <c r="F214" s="6" t="str">
        <f t="shared" si="21"/>
        <v/>
      </c>
    </row>
    <row r="215" spans="1:6">
      <c r="A215" s="5" t="str">
        <f t="shared" si="22"/>
        <v/>
      </c>
      <c r="B215" s="6" t="str">
        <f t="shared" si="23"/>
        <v/>
      </c>
      <c r="C215" s="6" t="str">
        <f t="shared" si="18"/>
        <v/>
      </c>
      <c r="D215" s="6" t="str">
        <f t="shared" si="19"/>
        <v/>
      </c>
      <c r="E215" s="6" t="str">
        <f t="shared" si="20"/>
        <v/>
      </c>
      <c r="F215" s="6" t="str">
        <f t="shared" si="21"/>
        <v/>
      </c>
    </row>
    <row r="216" spans="1:6">
      <c r="A216" s="5" t="str">
        <f t="shared" si="22"/>
        <v/>
      </c>
      <c r="B216" s="6" t="str">
        <f t="shared" si="23"/>
        <v/>
      </c>
      <c r="C216" s="6" t="str">
        <f t="shared" si="18"/>
        <v/>
      </c>
      <c r="D216" s="6" t="str">
        <f t="shared" si="19"/>
        <v/>
      </c>
      <c r="E216" s="6" t="str">
        <f t="shared" si="20"/>
        <v/>
      </c>
      <c r="F216" s="6" t="str">
        <f t="shared" si="21"/>
        <v/>
      </c>
    </row>
    <row r="217" spans="1:6">
      <c r="A217" s="5" t="str">
        <f t="shared" si="22"/>
        <v/>
      </c>
      <c r="B217" s="6" t="str">
        <f t="shared" si="23"/>
        <v/>
      </c>
      <c r="C217" s="6" t="str">
        <f t="shared" si="18"/>
        <v/>
      </c>
      <c r="D217" s="6" t="str">
        <f t="shared" si="19"/>
        <v/>
      </c>
      <c r="E217" s="6" t="str">
        <f t="shared" si="20"/>
        <v/>
      </c>
      <c r="F217" s="6" t="str">
        <f t="shared" si="21"/>
        <v/>
      </c>
    </row>
    <row r="218" spans="1:6">
      <c r="A218" s="5" t="str">
        <f t="shared" si="22"/>
        <v/>
      </c>
      <c r="B218" s="6" t="str">
        <f t="shared" si="23"/>
        <v/>
      </c>
      <c r="C218" s="6" t="str">
        <f t="shared" si="18"/>
        <v/>
      </c>
      <c r="D218" s="6" t="str">
        <f t="shared" si="19"/>
        <v/>
      </c>
      <c r="E218" s="6" t="str">
        <f t="shared" si="20"/>
        <v/>
      </c>
      <c r="F218" s="6" t="str">
        <f t="shared" si="21"/>
        <v/>
      </c>
    </row>
    <row r="219" spans="1:6">
      <c r="A219" s="5" t="str">
        <f t="shared" si="22"/>
        <v/>
      </c>
      <c r="B219" s="6" t="str">
        <f t="shared" si="23"/>
        <v/>
      </c>
      <c r="C219" s="6" t="str">
        <f t="shared" si="18"/>
        <v/>
      </c>
      <c r="D219" s="6" t="str">
        <f t="shared" si="19"/>
        <v/>
      </c>
      <c r="E219" s="6" t="str">
        <f t="shared" si="20"/>
        <v/>
      </c>
      <c r="F219" s="6" t="str">
        <f t="shared" si="21"/>
        <v/>
      </c>
    </row>
    <row r="220" spans="1:6">
      <c r="A220" s="5" t="str">
        <f t="shared" si="22"/>
        <v/>
      </c>
      <c r="B220" s="6" t="str">
        <f t="shared" si="23"/>
        <v/>
      </c>
      <c r="C220" s="6" t="str">
        <f t="shared" si="18"/>
        <v/>
      </c>
      <c r="D220" s="6" t="str">
        <f t="shared" si="19"/>
        <v/>
      </c>
      <c r="E220" s="6" t="str">
        <f t="shared" si="20"/>
        <v/>
      </c>
      <c r="F220" s="6" t="str">
        <f t="shared" si="21"/>
        <v/>
      </c>
    </row>
    <row r="221" spans="1:6">
      <c r="A221" s="5" t="str">
        <f t="shared" si="22"/>
        <v/>
      </c>
      <c r="B221" s="6" t="str">
        <f t="shared" si="23"/>
        <v/>
      </c>
      <c r="C221" s="6" t="str">
        <f t="shared" si="18"/>
        <v/>
      </c>
      <c r="D221" s="6" t="str">
        <f t="shared" si="19"/>
        <v/>
      </c>
      <c r="E221" s="6" t="str">
        <f t="shared" si="20"/>
        <v/>
      </c>
      <c r="F221" s="6" t="str">
        <f t="shared" si="21"/>
        <v/>
      </c>
    </row>
    <row r="222" spans="1:6">
      <c r="A222" s="5" t="str">
        <f t="shared" si="22"/>
        <v/>
      </c>
      <c r="B222" s="6" t="str">
        <f t="shared" si="23"/>
        <v/>
      </c>
      <c r="C222" s="6" t="str">
        <f t="shared" si="18"/>
        <v/>
      </c>
      <c r="D222" s="6" t="str">
        <f t="shared" si="19"/>
        <v/>
      </c>
      <c r="E222" s="6" t="str">
        <f t="shared" si="20"/>
        <v/>
      </c>
      <c r="F222" s="6" t="str">
        <f t="shared" si="21"/>
        <v/>
      </c>
    </row>
    <row r="223" spans="1:6">
      <c r="A223" s="5" t="str">
        <f t="shared" si="22"/>
        <v/>
      </c>
      <c r="B223" s="6" t="str">
        <f t="shared" si="23"/>
        <v/>
      </c>
      <c r="C223" s="6" t="str">
        <f t="shared" si="18"/>
        <v/>
      </c>
      <c r="D223" s="6" t="str">
        <f t="shared" si="19"/>
        <v/>
      </c>
      <c r="E223" s="6" t="str">
        <f t="shared" si="20"/>
        <v/>
      </c>
      <c r="F223" s="6" t="str">
        <f t="shared" si="21"/>
        <v/>
      </c>
    </row>
    <row r="224" spans="1:6">
      <c r="A224" s="5" t="str">
        <f t="shared" si="22"/>
        <v/>
      </c>
      <c r="B224" s="6" t="str">
        <f t="shared" si="23"/>
        <v/>
      </c>
      <c r="C224" s="6" t="str">
        <f t="shared" si="18"/>
        <v/>
      </c>
      <c r="D224" s="6" t="str">
        <f t="shared" si="19"/>
        <v/>
      </c>
      <c r="E224" s="6" t="str">
        <f t="shared" si="20"/>
        <v/>
      </c>
      <c r="F224" s="6" t="str">
        <f t="shared" si="21"/>
        <v/>
      </c>
    </row>
    <row r="225" spans="1:6">
      <c r="A225" s="5" t="str">
        <f t="shared" si="22"/>
        <v/>
      </c>
      <c r="B225" s="6" t="str">
        <f t="shared" si="23"/>
        <v/>
      </c>
      <c r="C225" s="6" t="str">
        <f t="shared" si="18"/>
        <v/>
      </c>
      <c r="D225" s="6" t="str">
        <f t="shared" si="19"/>
        <v/>
      </c>
      <c r="E225" s="6" t="str">
        <f t="shared" si="20"/>
        <v/>
      </c>
      <c r="F225" s="6" t="str">
        <f t="shared" si="21"/>
        <v/>
      </c>
    </row>
    <row r="226" spans="1:6">
      <c r="A226" s="5" t="str">
        <f t="shared" si="22"/>
        <v/>
      </c>
      <c r="B226" s="6" t="str">
        <f t="shared" si="23"/>
        <v/>
      </c>
      <c r="C226" s="6" t="str">
        <f t="shared" si="18"/>
        <v/>
      </c>
      <c r="D226" s="6" t="str">
        <f t="shared" si="19"/>
        <v/>
      </c>
      <c r="E226" s="6" t="str">
        <f t="shared" si="20"/>
        <v/>
      </c>
      <c r="F226" s="6" t="str">
        <f t="shared" si="21"/>
        <v/>
      </c>
    </row>
    <row r="227" spans="1:6">
      <c r="A227" s="5" t="str">
        <f t="shared" si="22"/>
        <v/>
      </c>
      <c r="B227" s="6" t="str">
        <f t="shared" si="23"/>
        <v/>
      </c>
      <c r="C227" s="6" t="str">
        <f t="shared" si="18"/>
        <v/>
      </c>
      <c r="D227" s="6" t="str">
        <f t="shared" si="19"/>
        <v/>
      </c>
      <c r="E227" s="6" t="str">
        <f t="shared" si="20"/>
        <v/>
      </c>
      <c r="F227" s="6" t="str">
        <f t="shared" si="21"/>
        <v/>
      </c>
    </row>
    <row r="228" spans="1:6">
      <c r="A228" s="5" t="str">
        <f t="shared" si="22"/>
        <v/>
      </c>
      <c r="B228" s="6" t="str">
        <f t="shared" si="23"/>
        <v/>
      </c>
      <c r="C228" s="6" t="str">
        <f t="shared" si="18"/>
        <v/>
      </c>
      <c r="D228" s="6" t="str">
        <f t="shared" si="19"/>
        <v/>
      </c>
      <c r="E228" s="6" t="str">
        <f t="shared" si="20"/>
        <v/>
      </c>
      <c r="F228" s="6" t="str">
        <f t="shared" si="21"/>
        <v/>
      </c>
    </row>
    <row r="229" spans="1:6">
      <c r="A229" s="5" t="str">
        <f t="shared" si="22"/>
        <v/>
      </c>
      <c r="B229" s="6" t="str">
        <f t="shared" si="23"/>
        <v/>
      </c>
      <c r="C229" s="6" t="str">
        <f t="shared" si="18"/>
        <v/>
      </c>
      <c r="D229" s="6" t="str">
        <f t="shared" si="19"/>
        <v/>
      </c>
      <c r="E229" s="6" t="str">
        <f t="shared" si="20"/>
        <v/>
      </c>
      <c r="F229" s="6" t="str">
        <f t="shared" si="21"/>
        <v/>
      </c>
    </row>
    <row r="230" spans="1:6">
      <c r="A230" s="5" t="str">
        <f t="shared" si="22"/>
        <v/>
      </c>
      <c r="B230" s="6" t="str">
        <f t="shared" si="23"/>
        <v/>
      </c>
      <c r="C230" s="6" t="str">
        <f t="shared" si="18"/>
        <v/>
      </c>
      <c r="D230" s="6" t="str">
        <f t="shared" si="19"/>
        <v/>
      </c>
      <c r="E230" s="6" t="str">
        <f t="shared" si="20"/>
        <v/>
      </c>
      <c r="F230" s="6" t="str">
        <f t="shared" si="21"/>
        <v/>
      </c>
    </row>
    <row r="231" spans="1:6">
      <c r="A231" s="5" t="str">
        <f t="shared" si="22"/>
        <v/>
      </c>
      <c r="B231" s="6" t="str">
        <f t="shared" si="23"/>
        <v/>
      </c>
      <c r="C231" s="6" t="str">
        <f t="shared" si="18"/>
        <v/>
      </c>
      <c r="D231" s="6" t="str">
        <f t="shared" si="19"/>
        <v/>
      </c>
      <c r="E231" s="6" t="str">
        <f t="shared" si="20"/>
        <v/>
      </c>
      <c r="F231" s="6" t="str">
        <f t="shared" si="21"/>
        <v/>
      </c>
    </row>
    <row r="232" spans="1:6">
      <c r="A232" s="5" t="str">
        <f t="shared" si="22"/>
        <v/>
      </c>
      <c r="B232" s="6" t="str">
        <f t="shared" si="23"/>
        <v/>
      </c>
      <c r="C232" s="6" t="str">
        <f t="shared" si="18"/>
        <v/>
      </c>
      <c r="D232" s="6" t="str">
        <f t="shared" si="19"/>
        <v/>
      </c>
      <c r="E232" s="6" t="str">
        <f t="shared" si="20"/>
        <v/>
      </c>
      <c r="F232" s="6" t="str">
        <f t="shared" si="21"/>
        <v/>
      </c>
    </row>
    <row r="233" spans="1:6">
      <c r="A233" s="5" t="str">
        <f t="shared" si="22"/>
        <v/>
      </c>
      <c r="B233" s="6" t="str">
        <f t="shared" si="23"/>
        <v/>
      </c>
      <c r="C233" s="6" t="str">
        <f t="shared" si="18"/>
        <v/>
      </c>
      <c r="D233" s="6" t="str">
        <f t="shared" si="19"/>
        <v/>
      </c>
      <c r="E233" s="6" t="str">
        <f t="shared" si="20"/>
        <v/>
      </c>
      <c r="F233" s="6" t="str">
        <f t="shared" si="21"/>
        <v/>
      </c>
    </row>
    <row r="234" spans="1:6">
      <c r="A234" s="5" t="str">
        <f t="shared" si="22"/>
        <v/>
      </c>
      <c r="B234" s="6" t="str">
        <f t="shared" si="23"/>
        <v/>
      </c>
      <c r="C234" s="6" t="str">
        <f t="shared" si="18"/>
        <v/>
      </c>
      <c r="D234" s="6" t="str">
        <f t="shared" si="19"/>
        <v/>
      </c>
      <c r="E234" s="6" t="str">
        <f t="shared" si="20"/>
        <v/>
      </c>
      <c r="F234" s="6" t="str">
        <f t="shared" si="21"/>
        <v/>
      </c>
    </row>
    <row r="235" spans="1:6">
      <c r="A235" s="5" t="str">
        <f t="shared" si="22"/>
        <v/>
      </c>
      <c r="B235" s="6" t="str">
        <f t="shared" si="23"/>
        <v/>
      </c>
      <c r="C235" s="6" t="str">
        <f t="shared" si="18"/>
        <v/>
      </c>
      <c r="D235" s="6" t="str">
        <f t="shared" si="19"/>
        <v/>
      </c>
      <c r="E235" s="6" t="str">
        <f t="shared" si="20"/>
        <v/>
      </c>
      <c r="F235" s="6" t="str">
        <f t="shared" si="21"/>
        <v/>
      </c>
    </row>
    <row r="236" spans="1:6">
      <c r="A236" s="5" t="str">
        <f t="shared" si="22"/>
        <v/>
      </c>
      <c r="B236" s="6" t="str">
        <f t="shared" si="23"/>
        <v/>
      </c>
      <c r="C236" s="6" t="str">
        <f t="shared" si="18"/>
        <v/>
      </c>
      <c r="D236" s="6" t="str">
        <f t="shared" si="19"/>
        <v/>
      </c>
      <c r="E236" s="6" t="str">
        <f t="shared" si="20"/>
        <v/>
      </c>
      <c r="F236" s="6" t="str">
        <f t="shared" si="21"/>
        <v/>
      </c>
    </row>
    <row r="237" spans="1:6">
      <c r="A237" s="5" t="str">
        <f t="shared" si="22"/>
        <v/>
      </c>
      <c r="B237" s="6" t="str">
        <f t="shared" si="23"/>
        <v/>
      </c>
      <c r="C237" s="6" t="str">
        <f t="shared" si="18"/>
        <v/>
      </c>
      <c r="D237" s="6" t="str">
        <f t="shared" si="19"/>
        <v/>
      </c>
      <c r="E237" s="6" t="str">
        <f t="shared" si="20"/>
        <v/>
      </c>
      <c r="F237" s="6" t="str">
        <f t="shared" si="21"/>
        <v/>
      </c>
    </row>
    <row r="238" spans="1:6">
      <c r="A238" s="5" t="str">
        <f t="shared" si="22"/>
        <v/>
      </c>
      <c r="B238" s="6" t="str">
        <f t="shared" si="23"/>
        <v/>
      </c>
      <c r="C238" s="6" t="str">
        <f t="shared" si="18"/>
        <v/>
      </c>
      <c r="D238" s="6" t="str">
        <f t="shared" si="19"/>
        <v/>
      </c>
      <c r="E238" s="6" t="str">
        <f t="shared" si="20"/>
        <v/>
      </c>
      <c r="F238" s="6" t="str">
        <f t="shared" si="21"/>
        <v/>
      </c>
    </row>
    <row r="239" spans="1:6">
      <c r="A239" s="5" t="str">
        <f t="shared" si="22"/>
        <v/>
      </c>
      <c r="B239" s="6" t="str">
        <f t="shared" si="23"/>
        <v/>
      </c>
      <c r="C239" s="6" t="str">
        <f t="shared" si="18"/>
        <v/>
      </c>
      <c r="D239" s="6" t="str">
        <f t="shared" si="19"/>
        <v/>
      </c>
      <c r="E239" s="6" t="str">
        <f t="shared" si="20"/>
        <v/>
      </c>
      <c r="F239" s="6" t="str">
        <f t="shared" si="21"/>
        <v/>
      </c>
    </row>
    <row r="240" spans="1:6">
      <c r="A240" s="5" t="str">
        <f t="shared" si="22"/>
        <v/>
      </c>
      <c r="B240" s="6" t="str">
        <f t="shared" si="23"/>
        <v/>
      </c>
      <c r="C240" s="6" t="str">
        <f t="shared" si="18"/>
        <v/>
      </c>
      <c r="D240" s="6" t="str">
        <f t="shared" si="19"/>
        <v/>
      </c>
      <c r="E240" s="6" t="str">
        <f t="shared" si="20"/>
        <v/>
      </c>
      <c r="F240" s="6" t="str">
        <f t="shared" si="21"/>
        <v/>
      </c>
    </row>
    <row r="241" spans="1:6">
      <c r="A241" s="5" t="str">
        <f t="shared" si="22"/>
        <v/>
      </c>
      <c r="B241" s="6" t="str">
        <f t="shared" si="23"/>
        <v/>
      </c>
      <c r="C241" s="6" t="str">
        <f t="shared" si="18"/>
        <v/>
      </c>
      <c r="D241" s="6" t="str">
        <f t="shared" si="19"/>
        <v/>
      </c>
      <c r="E241" s="6" t="str">
        <f t="shared" si="20"/>
        <v/>
      </c>
      <c r="F241" s="6" t="str">
        <f t="shared" si="21"/>
        <v/>
      </c>
    </row>
    <row r="242" spans="1:6">
      <c r="A242" s="5" t="str">
        <f t="shared" si="22"/>
        <v/>
      </c>
      <c r="B242" s="6" t="str">
        <f t="shared" si="23"/>
        <v/>
      </c>
      <c r="C242" s="6" t="str">
        <f t="shared" si="18"/>
        <v/>
      </c>
      <c r="D242" s="6" t="str">
        <f t="shared" si="19"/>
        <v/>
      </c>
      <c r="E242" s="6" t="str">
        <f t="shared" si="20"/>
        <v/>
      </c>
      <c r="F242" s="6" t="str">
        <f t="shared" si="21"/>
        <v/>
      </c>
    </row>
    <row r="243" spans="1:6">
      <c r="A243" s="5" t="str">
        <f t="shared" si="22"/>
        <v/>
      </c>
      <c r="B243" s="6" t="str">
        <f t="shared" si="23"/>
        <v/>
      </c>
      <c r="C243" s="6" t="str">
        <f t="shared" si="18"/>
        <v/>
      </c>
      <c r="D243" s="6" t="str">
        <f t="shared" si="19"/>
        <v/>
      </c>
      <c r="E243" s="6" t="str">
        <f t="shared" si="20"/>
        <v/>
      </c>
      <c r="F243" s="6" t="str">
        <f t="shared" si="21"/>
        <v/>
      </c>
    </row>
    <row r="244" spans="1:6">
      <c r="A244" s="5" t="str">
        <f t="shared" si="22"/>
        <v/>
      </c>
      <c r="B244" s="6" t="str">
        <f t="shared" si="23"/>
        <v/>
      </c>
      <c r="C244" s="6" t="str">
        <f t="shared" si="18"/>
        <v/>
      </c>
      <c r="D244" s="6" t="str">
        <f t="shared" si="19"/>
        <v/>
      </c>
      <c r="E244" s="6" t="str">
        <f t="shared" si="20"/>
        <v/>
      </c>
      <c r="F244" s="6" t="str">
        <f t="shared" si="21"/>
        <v/>
      </c>
    </row>
    <row r="245" spans="1:6">
      <c r="A245" s="5" t="str">
        <f t="shared" si="22"/>
        <v/>
      </c>
      <c r="B245" s="6" t="str">
        <f t="shared" si="23"/>
        <v/>
      </c>
      <c r="C245" s="6" t="str">
        <f t="shared" si="18"/>
        <v/>
      </c>
      <c r="D245" s="6" t="str">
        <f t="shared" si="19"/>
        <v/>
      </c>
      <c r="E245" s="6" t="str">
        <f t="shared" si="20"/>
        <v/>
      </c>
      <c r="F245" s="6" t="str">
        <f t="shared" si="21"/>
        <v/>
      </c>
    </row>
    <row r="246" spans="1:6">
      <c r="A246" s="5" t="str">
        <f t="shared" si="22"/>
        <v/>
      </c>
      <c r="B246" s="6" t="str">
        <f t="shared" si="23"/>
        <v/>
      </c>
      <c r="C246" s="6" t="str">
        <f t="shared" si="18"/>
        <v/>
      </c>
      <c r="D246" s="6" t="str">
        <f t="shared" si="19"/>
        <v/>
      </c>
      <c r="E246" s="6" t="str">
        <f t="shared" si="20"/>
        <v/>
      </c>
      <c r="F246" s="6" t="str">
        <f t="shared" si="21"/>
        <v/>
      </c>
    </row>
    <row r="247" spans="1:6">
      <c r="A247" s="5" t="str">
        <f t="shared" si="22"/>
        <v/>
      </c>
      <c r="B247" s="6" t="str">
        <f t="shared" si="23"/>
        <v/>
      </c>
      <c r="C247" s="6" t="str">
        <f t="shared" si="18"/>
        <v/>
      </c>
      <c r="D247" s="6" t="str">
        <f t="shared" si="19"/>
        <v/>
      </c>
      <c r="E247" s="6" t="str">
        <f t="shared" si="20"/>
        <v/>
      </c>
      <c r="F247" s="6" t="str">
        <f t="shared" si="21"/>
        <v/>
      </c>
    </row>
    <row r="248" spans="1:6">
      <c r="A248" s="5" t="str">
        <f t="shared" si="22"/>
        <v/>
      </c>
      <c r="B248" s="6" t="str">
        <f t="shared" si="23"/>
        <v/>
      </c>
      <c r="C248" s="6" t="str">
        <f t="shared" si="18"/>
        <v/>
      </c>
      <c r="D248" s="6" t="str">
        <f t="shared" si="19"/>
        <v/>
      </c>
      <c r="E248" s="6" t="str">
        <f t="shared" si="20"/>
        <v/>
      </c>
      <c r="F248" s="6" t="str">
        <f t="shared" si="21"/>
        <v/>
      </c>
    </row>
    <row r="249" spans="1:6">
      <c r="A249" s="5" t="str">
        <f t="shared" si="22"/>
        <v/>
      </c>
      <c r="B249" s="6" t="str">
        <f t="shared" si="23"/>
        <v/>
      </c>
      <c r="C249" s="6" t="str">
        <f t="shared" si="18"/>
        <v/>
      </c>
      <c r="D249" s="6" t="str">
        <f t="shared" si="19"/>
        <v/>
      </c>
      <c r="E249" s="6" t="str">
        <f t="shared" si="20"/>
        <v/>
      </c>
      <c r="F249" s="6" t="str">
        <f t="shared" si="21"/>
        <v/>
      </c>
    </row>
    <row r="250" spans="1:6">
      <c r="A250" s="5" t="str">
        <f t="shared" si="22"/>
        <v/>
      </c>
      <c r="B250" s="6" t="str">
        <f t="shared" si="23"/>
        <v/>
      </c>
      <c r="C250" s="6" t="str">
        <f t="shared" si="18"/>
        <v/>
      </c>
      <c r="D250" s="6" t="str">
        <f t="shared" si="19"/>
        <v/>
      </c>
      <c r="E250" s="6" t="str">
        <f t="shared" si="20"/>
        <v/>
      </c>
      <c r="F250" s="6" t="str">
        <f t="shared" si="21"/>
        <v/>
      </c>
    </row>
    <row r="251" spans="1:6">
      <c r="A251" s="5" t="str">
        <f t="shared" si="22"/>
        <v/>
      </c>
      <c r="B251" s="6" t="str">
        <f t="shared" si="23"/>
        <v/>
      </c>
      <c r="C251" s="6" t="str">
        <f t="shared" si="18"/>
        <v/>
      </c>
      <c r="D251" s="6" t="str">
        <f t="shared" si="19"/>
        <v/>
      </c>
      <c r="E251" s="6" t="str">
        <f t="shared" si="20"/>
        <v/>
      </c>
      <c r="F251" s="6" t="str">
        <f t="shared" si="21"/>
        <v/>
      </c>
    </row>
    <row r="252" spans="1:6">
      <c r="A252" s="5" t="str">
        <f t="shared" si="22"/>
        <v/>
      </c>
      <c r="B252" s="6" t="str">
        <f t="shared" si="23"/>
        <v/>
      </c>
      <c r="C252" s="6" t="str">
        <f t="shared" si="18"/>
        <v/>
      </c>
      <c r="D252" s="6" t="str">
        <f t="shared" si="19"/>
        <v/>
      </c>
      <c r="E252" s="6" t="str">
        <f t="shared" si="20"/>
        <v/>
      </c>
      <c r="F252" s="6" t="str">
        <f t="shared" si="21"/>
        <v/>
      </c>
    </row>
    <row r="253" spans="1:6">
      <c r="A253" s="5" t="str">
        <f t="shared" si="22"/>
        <v/>
      </c>
      <c r="B253" s="6" t="str">
        <f t="shared" si="23"/>
        <v/>
      </c>
      <c r="C253" s="6" t="str">
        <f t="shared" si="18"/>
        <v/>
      </c>
      <c r="D253" s="6" t="str">
        <f t="shared" si="19"/>
        <v/>
      </c>
      <c r="E253" s="6" t="str">
        <f t="shared" si="20"/>
        <v/>
      </c>
      <c r="F253" s="6" t="str">
        <f t="shared" si="21"/>
        <v/>
      </c>
    </row>
    <row r="254" spans="1:6">
      <c r="A254" s="5" t="str">
        <f t="shared" si="22"/>
        <v/>
      </c>
      <c r="B254" s="6" t="str">
        <f t="shared" si="23"/>
        <v/>
      </c>
      <c r="C254" s="6" t="str">
        <f t="shared" si="18"/>
        <v/>
      </c>
      <c r="D254" s="6" t="str">
        <f t="shared" si="19"/>
        <v/>
      </c>
      <c r="E254" s="6" t="str">
        <f t="shared" si="20"/>
        <v/>
      </c>
      <c r="F254" s="6" t="str">
        <f t="shared" si="21"/>
        <v/>
      </c>
    </row>
    <row r="255" spans="1:6">
      <c r="A255" s="5" t="str">
        <f t="shared" si="22"/>
        <v/>
      </c>
      <c r="B255" s="6" t="str">
        <f t="shared" si="23"/>
        <v/>
      </c>
      <c r="C255" s="6" t="str">
        <f t="shared" si="18"/>
        <v/>
      </c>
      <c r="D255" s="6" t="str">
        <f t="shared" si="19"/>
        <v/>
      </c>
      <c r="E255" s="6" t="str">
        <f t="shared" si="20"/>
        <v/>
      </c>
      <c r="F255" s="6" t="str">
        <f t="shared" si="21"/>
        <v/>
      </c>
    </row>
    <row r="256" spans="1:6">
      <c r="A256" s="5" t="str">
        <f t="shared" si="22"/>
        <v/>
      </c>
      <c r="B256" s="6" t="str">
        <f t="shared" si="23"/>
        <v/>
      </c>
      <c r="C256" s="6" t="str">
        <f t="shared" si="18"/>
        <v/>
      </c>
      <c r="D256" s="6" t="str">
        <f t="shared" si="19"/>
        <v/>
      </c>
      <c r="E256" s="6" t="str">
        <f t="shared" si="20"/>
        <v/>
      </c>
      <c r="F256" s="6" t="str">
        <f t="shared" si="21"/>
        <v/>
      </c>
    </row>
    <row r="257" spans="1:6">
      <c r="A257" s="5" t="str">
        <f t="shared" si="22"/>
        <v/>
      </c>
      <c r="B257" s="6" t="str">
        <f t="shared" si="23"/>
        <v/>
      </c>
      <c r="C257" s="6" t="str">
        <f t="shared" si="18"/>
        <v/>
      </c>
      <c r="D257" s="6" t="str">
        <f t="shared" si="19"/>
        <v/>
      </c>
      <c r="E257" s="6" t="str">
        <f t="shared" si="20"/>
        <v/>
      </c>
      <c r="F257" s="6" t="str">
        <f t="shared" si="21"/>
        <v/>
      </c>
    </row>
    <row r="258" spans="1:6">
      <c r="A258" s="5" t="str">
        <f t="shared" si="22"/>
        <v/>
      </c>
      <c r="B258" s="6" t="str">
        <f t="shared" si="23"/>
        <v/>
      </c>
      <c r="C258" s="6" t="str">
        <f t="shared" si="18"/>
        <v/>
      </c>
      <c r="D258" s="6" t="str">
        <f t="shared" si="19"/>
        <v/>
      </c>
      <c r="E258" s="6" t="str">
        <f t="shared" si="20"/>
        <v/>
      </c>
      <c r="F258" s="6" t="str">
        <f t="shared" si="21"/>
        <v/>
      </c>
    </row>
    <row r="259" spans="1:6">
      <c r="A259" s="5" t="str">
        <f t="shared" si="22"/>
        <v/>
      </c>
      <c r="B259" s="6" t="str">
        <f t="shared" si="23"/>
        <v/>
      </c>
      <c r="C259" s="6" t="str">
        <f t="shared" si="18"/>
        <v/>
      </c>
      <c r="D259" s="6" t="str">
        <f t="shared" si="19"/>
        <v/>
      </c>
      <c r="E259" s="6" t="str">
        <f t="shared" si="20"/>
        <v/>
      </c>
      <c r="F259" s="6" t="str">
        <f t="shared" si="21"/>
        <v/>
      </c>
    </row>
    <row r="260" spans="1:6">
      <c r="A260" s="5" t="str">
        <f t="shared" si="22"/>
        <v/>
      </c>
      <c r="B260" s="6" t="str">
        <f t="shared" si="23"/>
        <v/>
      </c>
      <c r="C260" s="6" t="str">
        <f t="shared" si="18"/>
        <v/>
      </c>
      <c r="D260" s="6" t="str">
        <f t="shared" si="19"/>
        <v/>
      </c>
      <c r="E260" s="6" t="str">
        <f t="shared" si="20"/>
        <v/>
      </c>
      <c r="F260" s="6" t="str">
        <f t="shared" si="21"/>
        <v/>
      </c>
    </row>
    <row r="261" spans="1:6">
      <c r="A261" s="5" t="str">
        <f t="shared" si="22"/>
        <v/>
      </c>
      <c r="B261" s="6" t="str">
        <f t="shared" si="23"/>
        <v/>
      </c>
      <c r="C261" s="6" t="str">
        <f t="shared" si="18"/>
        <v/>
      </c>
      <c r="D261" s="6" t="str">
        <f t="shared" si="19"/>
        <v/>
      </c>
      <c r="E261" s="6" t="str">
        <f t="shared" si="20"/>
        <v/>
      </c>
      <c r="F261" s="6" t="str">
        <f t="shared" si="21"/>
        <v/>
      </c>
    </row>
    <row r="262" spans="1:6">
      <c r="A262" s="5" t="str">
        <f t="shared" si="22"/>
        <v/>
      </c>
      <c r="B262" s="6" t="str">
        <f t="shared" si="23"/>
        <v/>
      </c>
      <c r="C262" s="6" t="str">
        <f t="shared" si="18"/>
        <v/>
      </c>
      <c r="D262" s="6" t="str">
        <f t="shared" si="19"/>
        <v/>
      </c>
      <c r="E262" s="6" t="str">
        <f t="shared" si="20"/>
        <v/>
      </c>
      <c r="F262" s="6" t="str">
        <f t="shared" si="21"/>
        <v/>
      </c>
    </row>
    <row r="263" spans="1:6">
      <c r="A263" s="5" t="str">
        <f t="shared" si="22"/>
        <v/>
      </c>
      <c r="B263" s="6" t="str">
        <f t="shared" si="23"/>
        <v/>
      </c>
      <c r="C263" s="6" t="str">
        <f t="shared" si="18"/>
        <v/>
      </c>
      <c r="D263" s="6" t="str">
        <f t="shared" si="19"/>
        <v/>
      </c>
      <c r="E263" s="6" t="str">
        <f t="shared" si="20"/>
        <v/>
      </c>
      <c r="F263" s="6" t="str">
        <f t="shared" si="21"/>
        <v/>
      </c>
    </row>
    <row r="264" spans="1:6">
      <c r="A264" s="5" t="str">
        <f t="shared" si="22"/>
        <v/>
      </c>
      <c r="B264" s="6" t="str">
        <f t="shared" si="23"/>
        <v/>
      </c>
      <c r="C264" s="6" t="str">
        <f t="shared" si="18"/>
        <v/>
      </c>
      <c r="D264" s="6" t="str">
        <f t="shared" si="19"/>
        <v/>
      </c>
      <c r="E264" s="6" t="str">
        <f t="shared" si="20"/>
        <v/>
      </c>
      <c r="F264" s="6" t="str">
        <f t="shared" si="21"/>
        <v/>
      </c>
    </row>
    <row r="265" spans="1:6">
      <c r="A265" s="5" t="str">
        <f t="shared" si="22"/>
        <v/>
      </c>
      <c r="B265" s="6" t="str">
        <f t="shared" si="23"/>
        <v/>
      </c>
      <c r="C265" s="6" t="str">
        <f t="shared" si="18"/>
        <v/>
      </c>
      <c r="D265" s="6" t="str">
        <f t="shared" si="19"/>
        <v/>
      </c>
      <c r="E265" s="6" t="str">
        <f t="shared" si="20"/>
        <v/>
      </c>
      <c r="F265" s="6" t="str">
        <f t="shared" si="21"/>
        <v/>
      </c>
    </row>
    <row r="266" spans="1:6">
      <c r="A266" s="5" t="str">
        <f t="shared" si="22"/>
        <v/>
      </c>
      <c r="B266" s="6" t="str">
        <f t="shared" si="23"/>
        <v/>
      </c>
      <c r="C266" s="6" t="str">
        <f t="shared" si="18"/>
        <v/>
      </c>
      <c r="D266" s="6" t="str">
        <f t="shared" si="19"/>
        <v/>
      </c>
      <c r="E266" s="6" t="str">
        <f t="shared" si="20"/>
        <v/>
      </c>
      <c r="F266" s="6" t="str">
        <f t="shared" si="21"/>
        <v/>
      </c>
    </row>
    <row r="267" spans="1:6">
      <c r="A267" s="5" t="str">
        <f t="shared" si="22"/>
        <v/>
      </c>
      <c r="B267" s="6" t="str">
        <f t="shared" si="23"/>
        <v/>
      </c>
      <c r="C267" s="6" t="str">
        <f t="shared" si="18"/>
        <v/>
      </c>
      <c r="D267" s="6" t="str">
        <f t="shared" si="19"/>
        <v/>
      </c>
      <c r="E267" s="6" t="str">
        <f t="shared" si="20"/>
        <v/>
      </c>
      <c r="F267" s="6" t="str">
        <f t="shared" si="21"/>
        <v/>
      </c>
    </row>
    <row r="268" spans="1:6">
      <c r="A268" s="5" t="str">
        <f t="shared" si="22"/>
        <v/>
      </c>
      <c r="B268" s="6" t="str">
        <f t="shared" si="23"/>
        <v/>
      </c>
      <c r="C268" s="6" t="str">
        <f t="shared" ref="C268:C311" si="24">IF(A268="","",$B$8)</f>
        <v/>
      </c>
      <c r="D268" s="6" t="str">
        <f t="shared" ref="D268:D311" si="25">IF(A268="","",B268*$B$4/$B$6)</f>
        <v/>
      </c>
      <c r="E268" s="6" t="str">
        <f t="shared" ref="E268:E331" si="26">IF(A268="","",C268-D268)</f>
        <v/>
      </c>
      <c r="F268" s="6" t="str">
        <f t="shared" ref="F268:F331" si="27">IF(A268="","",B268-E268)</f>
        <v/>
      </c>
    </row>
    <row r="269" spans="1:6">
      <c r="A269" s="5" t="str">
        <f t="shared" ref="A269:A311" si="28">IF(A268&lt;$B$9,A268+1,IF(ROW()=12,1,""))</f>
        <v/>
      </c>
      <c r="B269" s="6" t="str">
        <f t="shared" ref="B269:B332" si="29">IF(A269="","",F268)</f>
        <v/>
      </c>
      <c r="C269" s="6" t="str">
        <f t="shared" si="24"/>
        <v/>
      </c>
      <c r="D269" s="6" t="str">
        <f t="shared" si="25"/>
        <v/>
      </c>
      <c r="E269" s="6" t="str">
        <f t="shared" si="26"/>
        <v/>
      </c>
      <c r="F269" s="6" t="str">
        <f t="shared" si="27"/>
        <v/>
      </c>
    </row>
    <row r="270" spans="1:6">
      <c r="A270" s="5" t="str">
        <f t="shared" si="28"/>
        <v/>
      </c>
      <c r="B270" s="6" t="str">
        <f t="shared" si="29"/>
        <v/>
      </c>
      <c r="C270" s="6" t="str">
        <f t="shared" si="24"/>
        <v/>
      </c>
      <c r="D270" s="6" t="str">
        <f t="shared" si="25"/>
        <v/>
      </c>
      <c r="E270" s="6" t="str">
        <f t="shared" si="26"/>
        <v/>
      </c>
      <c r="F270" s="6" t="str">
        <f t="shared" si="27"/>
        <v/>
      </c>
    </row>
    <row r="271" spans="1:6">
      <c r="A271" s="5" t="str">
        <f t="shared" si="28"/>
        <v/>
      </c>
      <c r="B271" s="6" t="str">
        <f t="shared" si="29"/>
        <v/>
      </c>
      <c r="C271" s="6" t="str">
        <f t="shared" si="24"/>
        <v/>
      </c>
      <c r="D271" s="6" t="str">
        <f t="shared" si="25"/>
        <v/>
      </c>
      <c r="E271" s="6" t="str">
        <f t="shared" si="26"/>
        <v/>
      </c>
      <c r="F271" s="6" t="str">
        <f t="shared" si="27"/>
        <v/>
      </c>
    </row>
    <row r="272" spans="1:6">
      <c r="A272" s="5" t="str">
        <f t="shared" si="28"/>
        <v/>
      </c>
      <c r="B272" s="6" t="str">
        <f t="shared" si="29"/>
        <v/>
      </c>
      <c r="C272" s="6" t="str">
        <f t="shared" si="24"/>
        <v/>
      </c>
      <c r="D272" s="6" t="str">
        <f t="shared" si="25"/>
        <v/>
      </c>
      <c r="E272" s="6" t="str">
        <f t="shared" si="26"/>
        <v/>
      </c>
      <c r="F272" s="6" t="str">
        <f t="shared" si="27"/>
        <v/>
      </c>
    </row>
    <row r="273" spans="1:6">
      <c r="A273" s="5" t="str">
        <f t="shared" si="28"/>
        <v/>
      </c>
      <c r="B273" s="6" t="str">
        <f t="shared" si="29"/>
        <v/>
      </c>
      <c r="C273" s="6" t="str">
        <f t="shared" si="24"/>
        <v/>
      </c>
      <c r="D273" s="6" t="str">
        <f t="shared" si="25"/>
        <v/>
      </c>
      <c r="E273" s="6" t="str">
        <f t="shared" si="26"/>
        <v/>
      </c>
      <c r="F273" s="6" t="str">
        <f t="shared" si="27"/>
        <v/>
      </c>
    </row>
    <row r="274" spans="1:6">
      <c r="A274" s="5" t="str">
        <f t="shared" si="28"/>
        <v/>
      </c>
      <c r="B274" s="6" t="str">
        <f t="shared" si="29"/>
        <v/>
      </c>
      <c r="C274" s="6" t="str">
        <f t="shared" si="24"/>
        <v/>
      </c>
      <c r="D274" s="6" t="str">
        <f t="shared" si="25"/>
        <v/>
      </c>
      <c r="E274" s="6" t="str">
        <f t="shared" si="26"/>
        <v/>
      </c>
      <c r="F274" s="6" t="str">
        <f t="shared" si="27"/>
        <v/>
      </c>
    </row>
    <row r="275" spans="1:6">
      <c r="A275" s="5" t="str">
        <f t="shared" si="28"/>
        <v/>
      </c>
      <c r="B275" s="6" t="str">
        <f t="shared" si="29"/>
        <v/>
      </c>
      <c r="C275" s="6" t="str">
        <f t="shared" si="24"/>
        <v/>
      </c>
      <c r="D275" s="6" t="str">
        <f t="shared" si="25"/>
        <v/>
      </c>
      <c r="E275" s="6" t="str">
        <f t="shared" si="26"/>
        <v/>
      </c>
      <c r="F275" s="6" t="str">
        <f t="shared" si="27"/>
        <v/>
      </c>
    </row>
    <row r="276" spans="1:6">
      <c r="A276" s="5" t="str">
        <f t="shared" si="28"/>
        <v/>
      </c>
      <c r="B276" s="6" t="str">
        <f t="shared" si="29"/>
        <v/>
      </c>
      <c r="C276" s="6" t="str">
        <f t="shared" si="24"/>
        <v/>
      </c>
      <c r="D276" s="6" t="str">
        <f t="shared" si="25"/>
        <v/>
      </c>
      <c r="E276" s="6" t="str">
        <f t="shared" si="26"/>
        <v/>
      </c>
      <c r="F276" s="6" t="str">
        <f t="shared" si="27"/>
        <v/>
      </c>
    </row>
    <row r="277" spans="1:6">
      <c r="A277" s="5" t="str">
        <f t="shared" si="28"/>
        <v/>
      </c>
      <c r="B277" s="6" t="str">
        <f t="shared" si="29"/>
        <v/>
      </c>
      <c r="C277" s="6" t="str">
        <f t="shared" si="24"/>
        <v/>
      </c>
      <c r="D277" s="6" t="str">
        <f t="shared" si="25"/>
        <v/>
      </c>
      <c r="E277" s="6" t="str">
        <f t="shared" si="26"/>
        <v/>
      </c>
      <c r="F277" s="6" t="str">
        <f t="shared" si="27"/>
        <v/>
      </c>
    </row>
    <row r="278" spans="1:6">
      <c r="A278" s="5" t="str">
        <f t="shared" si="28"/>
        <v/>
      </c>
      <c r="B278" s="6" t="str">
        <f t="shared" si="29"/>
        <v/>
      </c>
      <c r="C278" s="6" t="str">
        <f t="shared" si="24"/>
        <v/>
      </c>
      <c r="D278" s="6" t="str">
        <f t="shared" si="25"/>
        <v/>
      </c>
      <c r="E278" s="6" t="str">
        <f t="shared" si="26"/>
        <v/>
      </c>
      <c r="F278" s="6" t="str">
        <f t="shared" si="27"/>
        <v/>
      </c>
    </row>
    <row r="279" spans="1:6">
      <c r="A279" s="5" t="str">
        <f t="shared" si="28"/>
        <v/>
      </c>
      <c r="B279" s="6" t="str">
        <f t="shared" si="29"/>
        <v/>
      </c>
      <c r="C279" s="6" t="str">
        <f t="shared" si="24"/>
        <v/>
      </c>
      <c r="D279" s="6" t="str">
        <f t="shared" si="25"/>
        <v/>
      </c>
      <c r="E279" s="6" t="str">
        <f t="shared" si="26"/>
        <v/>
      </c>
      <c r="F279" s="6" t="str">
        <f t="shared" si="27"/>
        <v/>
      </c>
    </row>
    <row r="280" spans="1:6">
      <c r="A280" s="5" t="str">
        <f t="shared" si="28"/>
        <v/>
      </c>
      <c r="B280" s="6" t="str">
        <f t="shared" si="29"/>
        <v/>
      </c>
      <c r="C280" s="6" t="str">
        <f t="shared" si="24"/>
        <v/>
      </c>
      <c r="D280" s="6" t="str">
        <f t="shared" si="25"/>
        <v/>
      </c>
      <c r="E280" s="6" t="str">
        <f t="shared" si="26"/>
        <v/>
      </c>
      <c r="F280" s="6" t="str">
        <f t="shared" si="27"/>
        <v/>
      </c>
    </row>
    <row r="281" spans="1:6">
      <c r="A281" s="5" t="str">
        <f t="shared" si="28"/>
        <v/>
      </c>
      <c r="B281" s="6" t="str">
        <f t="shared" si="29"/>
        <v/>
      </c>
      <c r="C281" s="6" t="str">
        <f t="shared" si="24"/>
        <v/>
      </c>
      <c r="D281" s="6" t="str">
        <f t="shared" si="25"/>
        <v/>
      </c>
      <c r="E281" s="6" t="str">
        <f t="shared" si="26"/>
        <v/>
      </c>
      <c r="F281" s="6" t="str">
        <f t="shared" si="27"/>
        <v/>
      </c>
    </row>
    <row r="282" spans="1:6">
      <c r="A282" s="5" t="str">
        <f t="shared" si="28"/>
        <v/>
      </c>
      <c r="B282" s="6" t="str">
        <f t="shared" si="29"/>
        <v/>
      </c>
      <c r="C282" s="6" t="str">
        <f t="shared" si="24"/>
        <v/>
      </c>
      <c r="D282" s="6" t="str">
        <f t="shared" si="25"/>
        <v/>
      </c>
      <c r="E282" s="6" t="str">
        <f t="shared" si="26"/>
        <v/>
      </c>
      <c r="F282" s="6" t="str">
        <f t="shared" si="27"/>
        <v/>
      </c>
    </row>
    <row r="283" spans="1:6">
      <c r="A283" s="5" t="str">
        <f t="shared" si="28"/>
        <v/>
      </c>
      <c r="B283" s="6" t="str">
        <f t="shared" si="29"/>
        <v/>
      </c>
      <c r="C283" s="6" t="str">
        <f t="shared" si="24"/>
        <v/>
      </c>
      <c r="D283" s="6" t="str">
        <f t="shared" si="25"/>
        <v/>
      </c>
      <c r="E283" s="6" t="str">
        <f t="shared" si="26"/>
        <v/>
      </c>
      <c r="F283" s="6" t="str">
        <f t="shared" si="27"/>
        <v/>
      </c>
    </row>
    <row r="284" spans="1:6">
      <c r="A284" s="5" t="str">
        <f t="shared" si="28"/>
        <v/>
      </c>
      <c r="B284" s="6" t="str">
        <f t="shared" si="29"/>
        <v/>
      </c>
      <c r="C284" s="6" t="str">
        <f t="shared" si="24"/>
        <v/>
      </c>
      <c r="D284" s="6" t="str">
        <f t="shared" si="25"/>
        <v/>
      </c>
      <c r="E284" s="6" t="str">
        <f t="shared" si="26"/>
        <v/>
      </c>
      <c r="F284" s="6" t="str">
        <f t="shared" si="27"/>
        <v/>
      </c>
    </row>
    <row r="285" spans="1:6">
      <c r="A285" s="5" t="str">
        <f t="shared" si="28"/>
        <v/>
      </c>
      <c r="B285" s="6" t="str">
        <f t="shared" si="29"/>
        <v/>
      </c>
      <c r="C285" s="6" t="str">
        <f t="shared" si="24"/>
        <v/>
      </c>
      <c r="D285" s="6" t="str">
        <f t="shared" si="25"/>
        <v/>
      </c>
      <c r="E285" s="6" t="str">
        <f t="shared" si="26"/>
        <v/>
      </c>
      <c r="F285" s="6" t="str">
        <f t="shared" si="27"/>
        <v/>
      </c>
    </row>
    <row r="286" spans="1:6">
      <c r="A286" s="5" t="str">
        <f t="shared" si="28"/>
        <v/>
      </c>
      <c r="B286" s="6" t="str">
        <f t="shared" si="29"/>
        <v/>
      </c>
      <c r="C286" s="6" t="str">
        <f t="shared" si="24"/>
        <v/>
      </c>
      <c r="D286" s="6" t="str">
        <f t="shared" si="25"/>
        <v/>
      </c>
      <c r="E286" s="6" t="str">
        <f t="shared" si="26"/>
        <v/>
      </c>
      <c r="F286" s="6" t="str">
        <f t="shared" si="27"/>
        <v/>
      </c>
    </row>
    <row r="287" spans="1:6">
      <c r="A287" s="5" t="str">
        <f t="shared" si="28"/>
        <v/>
      </c>
      <c r="B287" s="6" t="str">
        <f t="shared" si="29"/>
        <v/>
      </c>
      <c r="C287" s="6" t="str">
        <f t="shared" si="24"/>
        <v/>
      </c>
      <c r="D287" s="6" t="str">
        <f t="shared" si="25"/>
        <v/>
      </c>
      <c r="E287" s="6" t="str">
        <f t="shared" si="26"/>
        <v/>
      </c>
      <c r="F287" s="6" t="str">
        <f t="shared" si="27"/>
        <v/>
      </c>
    </row>
    <row r="288" spans="1:6">
      <c r="A288" s="5" t="str">
        <f t="shared" si="28"/>
        <v/>
      </c>
      <c r="B288" s="6" t="str">
        <f t="shared" si="29"/>
        <v/>
      </c>
      <c r="C288" s="6" t="str">
        <f t="shared" si="24"/>
        <v/>
      </c>
      <c r="D288" s="6" t="str">
        <f t="shared" si="25"/>
        <v/>
      </c>
      <c r="E288" s="6" t="str">
        <f t="shared" si="26"/>
        <v/>
      </c>
      <c r="F288" s="6" t="str">
        <f t="shared" si="27"/>
        <v/>
      </c>
    </row>
    <row r="289" spans="1:6">
      <c r="A289" s="5" t="str">
        <f t="shared" si="28"/>
        <v/>
      </c>
      <c r="B289" s="6" t="str">
        <f t="shared" si="29"/>
        <v/>
      </c>
      <c r="C289" s="6" t="str">
        <f t="shared" si="24"/>
        <v/>
      </c>
      <c r="D289" s="6" t="str">
        <f t="shared" si="25"/>
        <v/>
      </c>
      <c r="E289" s="6" t="str">
        <f t="shared" si="26"/>
        <v/>
      </c>
      <c r="F289" s="6" t="str">
        <f t="shared" si="27"/>
        <v/>
      </c>
    </row>
    <row r="290" spans="1:6">
      <c r="A290" s="5" t="str">
        <f t="shared" si="28"/>
        <v/>
      </c>
      <c r="B290" s="6" t="str">
        <f t="shared" si="29"/>
        <v/>
      </c>
      <c r="C290" s="6" t="str">
        <f t="shared" si="24"/>
        <v/>
      </c>
      <c r="D290" s="6" t="str">
        <f t="shared" si="25"/>
        <v/>
      </c>
      <c r="E290" s="6" t="str">
        <f t="shared" si="26"/>
        <v/>
      </c>
      <c r="F290" s="6" t="str">
        <f t="shared" si="27"/>
        <v/>
      </c>
    </row>
    <row r="291" spans="1:6">
      <c r="A291" s="5" t="str">
        <f t="shared" si="28"/>
        <v/>
      </c>
      <c r="B291" s="6" t="str">
        <f t="shared" si="29"/>
        <v/>
      </c>
      <c r="C291" s="6" t="str">
        <f t="shared" si="24"/>
        <v/>
      </c>
      <c r="D291" s="6" t="str">
        <f t="shared" si="25"/>
        <v/>
      </c>
      <c r="E291" s="6" t="str">
        <f t="shared" si="26"/>
        <v/>
      </c>
      <c r="F291" s="6" t="str">
        <f t="shared" si="27"/>
        <v/>
      </c>
    </row>
    <row r="292" spans="1:6">
      <c r="A292" s="5" t="str">
        <f t="shared" si="28"/>
        <v/>
      </c>
      <c r="B292" s="6" t="str">
        <f t="shared" si="29"/>
        <v/>
      </c>
      <c r="C292" s="6" t="str">
        <f t="shared" si="24"/>
        <v/>
      </c>
      <c r="D292" s="6" t="str">
        <f t="shared" si="25"/>
        <v/>
      </c>
      <c r="E292" s="6" t="str">
        <f t="shared" si="26"/>
        <v/>
      </c>
      <c r="F292" s="6" t="str">
        <f t="shared" si="27"/>
        <v/>
      </c>
    </row>
    <row r="293" spans="1:6">
      <c r="A293" s="5" t="str">
        <f t="shared" si="28"/>
        <v/>
      </c>
      <c r="B293" s="6" t="str">
        <f t="shared" si="29"/>
        <v/>
      </c>
      <c r="C293" s="6" t="str">
        <f t="shared" si="24"/>
        <v/>
      </c>
      <c r="D293" s="6" t="str">
        <f t="shared" si="25"/>
        <v/>
      </c>
      <c r="E293" s="6" t="str">
        <f t="shared" si="26"/>
        <v/>
      </c>
      <c r="F293" s="6" t="str">
        <f t="shared" si="27"/>
        <v/>
      </c>
    </row>
    <row r="294" spans="1:6">
      <c r="A294" s="5" t="str">
        <f t="shared" si="28"/>
        <v/>
      </c>
      <c r="B294" s="6" t="str">
        <f t="shared" si="29"/>
        <v/>
      </c>
      <c r="C294" s="6" t="str">
        <f t="shared" si="24"/>
        <v/>
      </c>
      <c r="D294" s="6" t="str">
        <f t="shared" si="25"/>
        <v/>
      </c>
      <c r="E294" s="6" t="str">
        <f t="shared" si="26"/>
        <v/>
      </c>
      <c r="F294" s="6" t="str">
        <f t="shared" si="27"/>
        <v/>
      </c>
    </row>
    <row r="295" spans="1:6">
      <c r="A295" s="5" t="str">
        <f t="shared" si="28"/>
        <v/>
      </c>
      <c r="B295" s="6" t="str">
        <f t="shared" si="29"/>
        <v/>
      </c>
      <c r="C295" s="6" t="str">
        <f t="shared" si="24"/>
        <v/>
      </c>
      <c r="D295" s="6" t="str">
        <f t="shared" si="25"/>
        <v/>
      </c>
      <c r="E295" s="6" t="str">
        <f t="shared" si="26"/>
        <v/>
      </c>
      <c r="F295" s="6" t="str">
        <f t="shared" si="27"/>
        <v/>
      </c>
    </row>
    <row r="296" spans="1:6">
      <c r="A296" s="5" t="str">
        <f t="shared" si="28"/>
        <v/>
      </c>
      <c r="B296" s="6" t="str">
        <f t="shared" si="29"/>
        <v/>
      </c>
      <c r="C296" s="6" t="str">
        <f t="shared" si="24"/>
        <v/>
      </c>
      <c r="D296" s="6" t="str">
        <f t="shared" si="25"/>
        <v/>
      </c>
      <c r="E296" s="6" t="str">
        <f t="shared" si="26"/>
        <v/>
      </c>
      <c r="F296" s="6" t="str">
        <f t="shared" si="27"/>
        <v/>
      </c>
    </row>
    <row r="297" spans="1:6">
      <c r="A297" s="5" t="str">
        <f t="shared" si="28"/>
        <v/>
      </c>
      <c r="B297" s="6" t="str">
        <f t="shared" si="29"/>
        <v/>
      </c>
      <c r="C297" s="6" t="str">
        <f t="shared" si="24"/>
        <v/>
      </c>
      <c r="D297" s="6" t="str">
        <f t="shared" si="25"/>
        <v/>
      </c>
      <c r="E297" s="6" t="str">
        <f t="shared" si="26"/>
        <v/>
      </c>
      <c r="F297" s="6" t="str">
        <f t="shared" si="27"/>
        <v/>
      </c>
    </row>
    <row r="298" spans="1:6">
      <c r="A298" s="5" t="str">
        <f t="shared" si="28"/>
        <v/>
      </c>
      <c r="B298" s="6" t="str">
        <f t="shared" si="29"/>
        <v/>
      </c>
      <c r="C298" s="6" t="str">
        <f t="shared" si="24"/>
        <v/>
      </c>
      <c r="D298" s="6" t="str">
        <f t="shared" si="25"/>
        <v/>
      </c>
      <c r="E298" s="6" t="str">
        <f t="shared" si="26"/>
        <v/>
      </c>
      <c r="F298" s="6" t="str">
        <f t="shared" si="27"/>
        <v/>
      </c>
    </row>
    <row r="299" spans="1:6">
      <c r="A299" s="5" t="str">
        <f t="shared" si="28"/>
        <v/>
      </c>
      <c r="B299" s="6" t="str">
        <f t="shared" si="29"/>
        <v/>
      </c>
      <c r="C299" s="6" t="str">
        <f t="shared" si="24"/>
        <v/>
      </c>
      <c r="D299" s="6" t="str">
        <f t="shared" si="25"/>
        <v/>
      </c>
      <c r="E299" s="6" t="str">
        <f t="shared" si="26"/>
        <v/>
      </c>
      <c r="F299" s="6" t="str">
        <f t="shared" si="27"/>
        <v/>
      </c>
    </row>
    <row r="300" spans="1:6">
      <c r="A300" s="5" t="str">
        <f t="shared" si="28"/>
        <v/>
      </c>
      <c r="B300" s="6" t="str">
        <f t="shared" si="29"/>
        <v/>
      </c>
      <c r="C300" s="6" t="str">
        <f t="shared" si="24"/>
        <v/>
      </c>
      <c r="D300" s="6" t="str">
        <f t="shared" si="25"/>
        <v/>
      </c>
      <c r="E300" s="6" t="str">
        <f t="shared" si="26"/>
        <v/>
      </c>
      <c r="F300" s="6" t="str">
        <f t="shared" si="27"/>
        <v/>
      </c>
    </row>
    <row r="301" spans="1:6">
      <c r="A301" s="5" t="str">
        <f t="shared" si="28"/>
        <v/>
      </c>
      <c r="B301" s="6" t="str">
        <f t="shared" si="29"/>
        <v/>
      </c>
      <c r="C301" s="6" t="str">
        <f t="shared" si="24"/>
        <v/>
      </c>
      <c r="D301" s="6" t="str">
        <f t="shared" si="25"/>
        <v/>
      </c>
      <c r="E301" s="6" t="str">
        <f t="shared" si="26"/>
        <v/>
      </c>
      <c r="F301" s="6" t="str">
        <f t="shared" si="27"/>
        <v/>
      </c>
    </row>
    <row r="302" spans="1:6">
      <c r="A302" s="5" t="str">
        <f t="shared" si="28"/>
        <v/>
      </c>
      <c r="B302" s="6" t="str">
        <f t="shared" si="29"/>
        <v/>
      </c>
      <c r="C302" s="6" t="str">
        <f t="shared" si="24"/>
        <v/>
      </c>
      <c r="D302" s="6" t="str">
        <f t="shared" si="25"/>
        <v/>
      </c>
      <c r="E302" s="6" t="str">
        <f t="shared" si="26"/>
        <v/>
      </c>
      <c r="F302" s="6" t="str">
        <f t="shared" si="27"/>
        <v/>
      </c>
    </row>
    <row r="303" spans="1:6">
      <c r="A303" s="5" t="str">
        <f t="shared" si="28"/>
        <v/>
      </c>
      <c r="B303" s="6" t="str">
        <f t="shared" si="29"/>
        <v/>
      </c>
      <c r="C303" s="6" t="str">
        <f t="shared" si="24"/>
        <v/>
      </c>
      <c r="D303" s="6" t="str">
        <f t="shared" si="25"/>
        <v/>
      </c>
      <c r="E303" s="6" t="str">
        <f t="shared" si="26"/>
        <v/>
      </c>
      <c r="F303" s="6" t="str">
        <f t="shared" si="27"/>
        <v/>
      </c>
    </row>
    <row r="304" spans="1:6">
      <c r="A304" s="5" t="str">
        <f t="shared" si="28"/>
        <v/>
      </c>
      <c r="B304" s="6" t="str">
        <f t="shared" si="29"/>
        <v/>
      </c>
      <c r="C304" s="6" t="str">
        <f t="shared" si="24"/>
        <v/>
      </c>
      <c r="D304" s="6" t="str">
        <f t="shared" si="25"/>
        <v/>
      </c>
      <c r="E304" s="6" t="str">
        <f t="shared" si="26"/>
        <v/>
      </c>
      <c r="F304" s="6" t="str">
        <f t="shared" si="27"/>
        <v/>
      </c>
    </row>
    <row r="305" spans="1:6">
      <c r="A305" s="5" t="str">
        <f t="shared" si="28"/>
        <v/>
      </c>
      <c r="B305" s="6" t="str">
        <f t="shared" si="29"/>
        <v/>
      </c>
      <c r="C305" s="6" t="str">
        <f t="shared" si="24"/>
        <v/>
      </c>
      <c r="D305" s="6" t="str">
        <f t="shared" si="25"/>
        <v/>
      </c>
      <c r="E305" s="6" t="str">
        <f t="shared" si="26"/>
        <v/>
      </c>
      <c r="F305" s="6" t="str">
        <f t="shared" si="27"/>
        <v/>
      </c>
    </row>
    <row r="306" spans="1:6">
      <c r="A306" s="5" t="str">
        <f t="shared" si="28"/>
        <v/>
      </c>
      <c r="B306" s="6" t="str">
        <f t="shared" si="29"/>
        <v/>
      </c>
      <c r="C306" s="6" t="str">
        <f t="shared" si="24"/>
        <v/>
      </c>
      <c r="D306" s="6" t="str">
        <f t="shared" si="25"/>
        <v/>
      </c>
      <c r="E306" s="6" t="str">
        <f t="shared" si="26"/>
        <v/>
      </c>
      <c r="F306" s="6" t="str">
        <f t="shared" si="27"/>
        <v/>
      </c>
    </row>
    <row r="307" spans="1:6">
      <c r="A307" s="5" t="str">
        <f t="shared" si="28"/>
        <v/>
      </c>
      <c r="B307" s="6" t="str">
        <f t="shared" si="29"/>
        <v/>
      </c>
      <c r="C307" s="6" t="str">
        <f t="shared" si="24"/>
        <v/>
      </c>
      <c r="D307" s="6" t="str">
        <f t="shared" si="25"/>
        <v/>
      </c>
      <c r="E307" s="6" t="str">
        <f t="shared" si="26"/>
        <v/>
      </c>
      <c r="F307" s="6" t="str">
        <f t="shared" si="27"/>
        <v/>
      </c>
    </row>
    <row r="308" spans="1:6">
      <c r="A308" s="5" t="str">
        <f t="shared" si="28"/>
        <v/>
      </c>
      <c r="B308" s="6" t="str">
        <f t="shared" si="29"/>
        <v/>
      </c>
      <c r="C308" s="6" t="str">
        <f t="shared" si="24"/>
        <v/>
      </c>
      <c r="D308" s="6" t="str">
        <f t="shared" si="25"/>
        <v/>
      </c>
      <c r="E308" s="6" t="str">
        <f t="shared" si="26"/>
        <v/>
      </c>
      <c r="F308" s="6" t="str">
        <f t="shared" si="27"/>
        <v/>
      </c>
    </row>
    <row r="309" spans="1:6">
      <c r="A309" s="5" t="str">
        <f t="shared" si="28"/>
        <v/>
      </c>
      <c r="B309" s="6" t="str">
        <f t="shared" si="29"/>
        <v/>
      </c>
      <c r="C309" s="6" t="str">
        <f t="shared" si="24"/>
        <v/>
      </c>
      <c r="D309" s="6" t="str">
        <f t="shared" si="25"/>
        <v/>
      </c>
      <c r="E309" s="6" t="str">
        <f t="shared" si="26"/>
        <v/>
      </c>
      <c r="F309" s="6" t="str">
        <f t="shared" si="27"/>
        <v/>
      </c>
    </row>
    <row r="310" spans="1:6">
      <c r="A310" s="5" t="str">
        <f t="shared" si="28"/>
        <v/>
      </c>
      <c r="B310" s="6" t="str">
        <f t="shared" si="29"/>
        <v/>
      </c>
      <c r="C310" s="6" t="str">
        <f t="shared" si="24"/>
        <v/>
      </c>
      <c r="D310" s="6" t="str">
        <f t="shared" si="25"/>
        <v/>
      </c>
      <c r="E310" s="6" t="str">
        <f t="shared" si="26"/>
        <v/>
      </c>
      <c r="F310" s="6" t="str">
        <f t="shared" si="27"/>
        <v/>
      </c>
    </row>
    <row r="311" spans="1:6">
      <c r="A311" s="5" t="str">
        <f t="shared" si="28"/>
        <v/>
      </c>
      <c r="B311" s="6" t="str">
        <f t="shared" si="29"/>
        <v/>
      </c>
      <c r="C311" s="6" t="str">
        <f t="shared" si="24"/>
        <v/>
      </c>
      <c r="D311" s="6" t="str">
        <f t="shared" si="25"/>
        <v/>
      </c>
      <c r="E311" s="6" t="str">
        <f t="shared" si="26"/>
        <v/>
      </c>
      <c r="F311" s="6" t="str">
        <f t="shared" si="27"/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Amortization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2026-02-28T18:19:28Z</dcterms:created>
  <dcterms:modified xsi:type="dcterms:W3CDTF">2026-02-28T18:30:13Z</dcterms:modified>
</cp:coreProperties>
</file>