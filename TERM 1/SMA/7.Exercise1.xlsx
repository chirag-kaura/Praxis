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660" windowWidth="19420" windowHeight="1102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  <c r="D57" i="1"/>
  <c r="D58" i="1"/>
  <c r="D55" i="1"/>
  <c r="C56" i="1"/>
  <c r="C57" i="1"/>
  <c r="C58" i="1"/>
  <c r="C55" i="1"/>
  <c r="F36" i="1"/>
  <c r="F37" i="1"/>
  <c r="F38" i="1"/>
  <c r="F39" i="1"/>
  <c r="F40" i="1"/>
  <c r="F41" i="1"/>
  <c r="F42" i="1"/>
  <c r="F43" i="1"/>
  <c r="F44" i="1"/>
  <c r="F35" i="1"/>
  <c r="E36" i="1"/>
  <c r="D36" i="1"/>
  <c r="D37" i="1"/>
  <c r="D38" i="1"/>
  <c r="D39" i="1"/>
  <c r="D40" i="1"/>
  <c r="D41" i="1"/>
  <c r="D42" i="1"/>
  <c r="D43" i="1"/>
  <c r="D44" i="1"/>
  <c r="D35" i="1"/>
  <c r="C40" i="1"/>
  <c r="E40" i="1" s="1"/>
  <c r="C41" i="1"/>
  <c r="E41" i="1" s="1"/>
  <c r="C42" i="1"/>
  <c r="E42" i="1" s="1"/>
  <c r="C43" i="1"/>
  <c r="E43" i="1" s="1"/>
  <c r="C44" i="1"/>
  <c r="E44" i="1" s="1"/>
  <c r="C36" i="1"/>
  <c r="C37" i="1"/>
  <c r="E37" i="1" s="1"/>
  <c r="C38" i="1"/>
  <c r="E38" i="1" s="1"/>
  <c r="C39" i="1"/>
  <c r="E39" i="1" s="1"/>
  <c r="C35" i="1"/>
  <c r="E35" i="1" s="1"/>
  <c r="E16" i="1"/>
  <c r="E17" i="1"/>
  <c r="E18" i="1"/>
  <c r="E15" i="1"/>
  <c r="D16" i="1"/>
  <c r="D17" i="1"/>
  <c r="D18" i="1"/>
  <c r="D15" i="1"/>
  <c r="C16" i="1" l="1"/>
  <c r="C17" i="1"/>
  <c r="C18" i="1"/>
  <c r="C15" i="1"/>
</calcChain>
</file>

<file path=xl/sharedStrings.xml><?xml version="1.0" encoding="utf-8"?>
<sst xmlns="http://schemas.openxmlformats.org/spreadsheetml/2006/main" count="39" uniqueCount="32">
  <si>
    <t>NZ150 Computer Concepts</t>
  </si>
  <si>
    <t>Exercise 1 - Soverign Sports</t>
  </si>
  <si>
    <t>Sovereign Sports</t>
  </si>
  <si>
    <t>Week 1</t>
  </si>
  <si>
    <t>Weekly Sales by Sport</t>
  </si>
  <si>
    <t>Total Sales</t>
  </si>
  <si>
    <t>GST</t>
  </si>
  <si>
    <t>Total Incl GST</t>
  </si>
  <si>
    <t>GST =</t>
  </si>
  <si>
    <t>Tennis</t>
  </si>
  <si>
    <t>Golf</t>
  </si>
  <si>
    <t>Football</t>
  </si>
  <si>
    <t>Netball</t>
  </si>
  <si>
    <t>b)  Amend the amount of GST to 15% and see what happens to the values in the spreadsheet for GST and Total Inclusive of GST.</t>
  </si>
  <si>
    <t>Exercise 2</t>
  </si>
  <si>
    <t>Gift Shop Inventory</t>
  </si>
  <si>
    <t>Product Code</t>
  </si>
  <si>
    <t>Retail Price</t>
  </si>
  <si>
    <t>Over 6</t>
  </si>
  <si>
    <t>2 to 6 orders</t>
  </si>
  <si>
    <t>Over 6 orders</t>
  </si>
  <si>
    <t>Discount for Quantity:</t>
  </si>
  <si>
    <t>2 to 6</t>
  </si>
  <si>
    <t>Discount for Quantity</t>
  </si>
  <si>
    <t>Discounted Price</t>
  </si>
  <si>
    <t>Exercise 3</t>
  </si>
  <si>
    <t>2006 Sales Increase:</t>
  </si>
  <si>
    <t>Yearly Sales by Sport</t>
  </si>
  <si>
    <t>b)  Change the rate of the sales increase to 15% and then 25% and see what happens to the 2006 figures.</t>
  </si>
  <si>
    <r>
      <t xml:space="preserve">c)  Repeat the exercise inserting new formula and % to show a </t>
    </r>
    <r>
      <rPr>
        <b/>
        <sz val="10"/>
        <rFont val="Arial"/>
        <family val="2"/>
      </rPr>
      <t>decrease</t>
    </r>
    <r>
      <rPr>
        <sz val="10"/>
        <rFont val="Arial"/>
        <family val="2"/>
      </rPr>
      <t xml:space="preserve"> in 2006 sales by 5%</t>
    </r>
  </si>
  <si>
    <t xml:space="preserve">The following spreadsheet shows a list of inventory (products) carried by a gift shop.  The gift shop will sell their products at a discounted rate to customers who buy products in bulk.  A discount of 20% is given to customers who purchase a quantity of 2 to 6 of an item.  A discount of 30% is given to customers who purchase a quantity of more than 6 of an item.  You are required to enter the formulas to calculate the amount of discount fthat will apply per product at each of the discount rates.  </t>
  </si>
  <si>
    <t xml:space="preserve">a) Sovereign Sports  expects its sales figures for 2006 to exceed the sales in 2005 by 20%.  Enter a formula in C54 that will calculate the amount of the sales for 2006.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</si>
</sst>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&quot;$&quot;#,##0.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/>
    <xf numFmtId="0" fontId="1" fillId="0" borderId="6" xfId="0" applyFont="1" applyBorder="1" applyAlignment="1">
      <alignment wrapText="1"/>
    </xf>
    <xf numFmtId="164" fontId="0" fillId="0" borderId="6" xfId="0" applyNumberFormat="1" applyBorder="1"/>
    <xf numFmtId="9" fontId="0" fillId="0" borderId="0" xfId="0" applyNumberFormat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6" xfId="0" applyNumberFormat="1" applyBorder="1"/>
    <xf numFmtId="0" fontId="0" fillId="0" borderId="0" xfId="0" applyAlignment="1">
      <alignment vertical="top"/>
    </xf>
    <xf numFmtId="3" fontId="0" fillId="0" borderId="0" xfId="0" applyNumberFormat="1"/>
    <xf numFmtId="9" fontId="1" fillId="0" borderId="2" xfId="0" applyNumberFormat="1" applyFont="1" applyBorder="1" applyAlignment="1">
      <alignment horizontal="center"/>
    </xf>
    <xf numFmtId="9" fontId="1" fillId="0" borderId="0" xfId="0" applyNumberFormat="1" applyFont="1"/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58" zoomScale="130" zoomScaleNormal="130" workbookViewId="0">
      <selection activeCell="D55" sqref="D55"/>
    </sheetView>
  </sheetViews>
  <sheetFormatPr defaultColWidth="8.81640625" defaultRowHeight="12.5" x14ac:dyDescent="0.25"/>
  <cols>
    <col min="3" max="3" width="12.6328125" customWidth="1"/>
    <col min="4" max="4" width="19.6328125" bestFit="1" customWidth="1"/>
    <col min="5" max="5" width="12.1796875" bestFit="1" customWidth="1"/>
    <col min="6" max="6" width="13.36328125" bestFit="1" customWidth="1"/>
    <col min="9" max="9" width="11" customWidth="1"/>
  </cols>
  <sheetData>
    <row r="1" spans="1:9" ht="15.5" x14ac:dyDescent="0.35">
      <c r="A1" s="2" t="s">
        <v>0</v>
      </c>
      <c r="B1" s="2"/>
    </row>
    <row r="2" spans="1:9" ht="15.5" x14ac:dyDescent="0.35">
      <c r="A2" s="2"/>
      <c r="B2" s="2"/>
    </row>
    <row r="3" spans="1:9" ht="15.5" x14ac:dyDescent="0.35">
      <c r="A3" s="2"/>
      <c r="B3" s="2"/>
    </row>
    <row r="5" spans="1:9" ht="14" x14ac:dyDescent="0.3">
      <c r="A5" s="3" t="s">
        <v>1</v>
      </c>
    </row>
    <row r="6" spans="1:9" ht="2.25" customHeight="1" x14ac:dyDescent="0.25"/>
    <row r="7" spans="1:9" ht="60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13" thickBot="1" x14ac:dyDescent="0.3"/>
    <row r="9" spans="1:9" ht="13" x14ac:dyDescent="0.3">
      <c r="A9" s="33" t="s">
        <v>2</v>
      </c>
      <c r="B9" s="34"/>
      <c r="C9" s="34"/>
      <c r="D9" s="34"/>
      <c r="E9" s="35"/>
    </row>
    <row r="10" spans="1:9" ht="13" x14ac:dyDescent="0.3">
      <c r="A10" s="28" t="s">
        <v>4</v>
      </c>
      <c r="B10" s="29"/>
      <c r="C10" s="29"/>
      <c r="D10" s="29"/>
      <c r="E10" s="30"/>
    </row>
    <row r="11" spans="1:9" x14ac:dyDescent="0.25">
      <c r="A11" s="4"/>
      <c r="E11" s="5"/>
    </row>
    <row r="12" spans="1:9" x14ac:dyDescent="0.25">
      <c r="A12" s="4"/>
      <c r="C12" t="s">
        <v>8</v>
      </c>
      <c r="D12" s="6">
        <v>0.15</v>
      </c>
      <c r="E12" s="5"/>
    </row>
    <row r="13" spans="1:9" x14ac:dyDescent="0.25">
      <c r="A13" s="4"/>
      <c r="E13" s="5"/>
    </row>
    <row r="14" spans="1:9" s="1" customFormat="1" ht="26" x14ac:dyDescent="0.3">
      <c r="A14" s="7"/>
      <c r="B14" s="1" t="s">
        <v>3</v>
      </c>
      <c r="C14" s="8" t="s">
        <v>5</v>
      </c>
      <c r="D14" s="1" t="s">
        <v>6</v>
      </c>
      <c r="E14" s="9" t="s">
        <v>7</v>
      </c>
    </row>
    <row r="15" spans="1:9" x14ac:dyDescent="0.25">
      <c r="A15" s="4" t="s">
        <v>9</v>
      </c>
      <c r="B15">
        <v>2000</v>
      </c>
      <c r="C15">
        <f>SUM(B15:B15)</f>
        <v>2000</v>
      </c>
      <c r="D15">
        <f>C15*$D$12</f>
        <v>300</v>
      </c>
      <c r="E15">
        <f>C15+C15*$D$12</f>
        <v>2300</v>
      </c>
    </row>
    <row r="16" spans="1:9" x14ac:dyDescent="0.25">
      <c r="A16" s="4" t="s">
        <v>10</v>
      </c>
      <c r="B16">
        <v>3000</v>
      </c>
      <c r="C16">
        <f>SUM(B16:B16)</f>
        <v>3000</v>
      </c>
      <c r="D16">
        <f t="shared" ref="D16:D18" si="0">C16*$D$12</f>
        <v>450</v>
      </c>
      <c r="E16">
        <f t="shared" ref="E16:E18" si="1">C16+C16*$D$12</f>
        <v>3450</v>
      </c>
    </row>
    <row r="17" spans="1:9" x14ac:dyDescent="0.25">
      <c r="A17" s="4" t="s">
        <v>11</v>
      </c>
      <c r="B17">
        <v>1500</v>
      </c>
      <c r="C17">
        <f>SUM(B17:B17)</f>
        <v>1500</v>
      </c>
      <c r="D17">
        <f t="shared" si="0"/>
        <v>225</v>
      </c>
      <c r="E17">
        <f t="shared" si="1"/>
        <v>1725</v>
      </c>
    </row>
    <row r="18" spans="1:9" x14ac:dyDescent="0.25">
      <c r="A18" s="4" t="s">
        <v>12</v>
      </c>
      <c r="B18">
        <v>2000</v>
      </c>
      <c r="C18">
        <f>SUM(B18:B18)</f>
        <v>2000</v>
      </c>
      <c r="D18">
        <f t="shared" si="0"/>
        <v>300</v>
      </c>
      <c r="E18">
        <f t="shared" si="1"/>
        <v>2300</v>
      </c>
    </row>
    <row r="19" spans="1:9" ht="13" thickBot="1" x14ac:dyDescent="0.3">
      <c r="A19" s="10"/>
      <c r="B19" s="11"/>
      <c r="C19" s="11"/>
      <c r="D19" s="11"/>
      <c r="E19" s="12"/>
    </row>
    <row r="21" spans="1:9" ht="32.25" customHeight="1" x14ac:dyDescent="0.25">
      <c r="A21" s="27" t="s">
        <v>13</v>
      </c>
      <c r="B21" s="27"/>
      <c r="C21" s="27"/>
      <c r="D21" s="27"/>
      <c r="E21" s="27"/>
      <c r="F21" s="27"/>
      <c r="G21" s="27"/>
      <c r="H21" s="27"/>
      <c r="I21" s="27"/>
    </row>
    <row r="23" spans="1:9" ht="14" x14ac:dyDescent="0.3">
      <c r="A23" s="3" t="s">
        <v>14</v>
      </c>
    </row>
    <row r="25" spans="1:9" ht="100" customHeight="1" x14ac:dyDescent="0.25">
      <c r="A25" s="26" t="s">
        <v>30</v>
      </c>
      <c r="B25" s="27"/>
      <c r="C25" s="27"/>
      <c r="D25" s="27"/>
      <c r="E25" s="27"/>
      <c r="F25" s="27"/>
      <c r="G25" s="27"/>
      <c r="H25" s="27"/>
      <c r="I25" s="27"/>
    </row>
    <row r="27" spans="1:9" ht="15.5" x14ac:dyDescent="0.35">
      <c r="A27" s="38" t="s">
        <v>15</v>
      </c>
      <c r="B27" s="38"/>
      <c r="C27" s="38"/>
      <c r="D27" s="38"/>
      <c r="E27" s="38"/>
      <c r="F27" s="38"/>
    </row>
    <row r="29" spans="1:9" ht="13" x14ac:dyDescent="0.3">
      <c r="A29" s="18" t="s">
        <v>21</v>
      </c>
      <c r="B29" s="18"/>
    </row>
    <row r="30" spans="1:9" x14ac:dyDescent="0.25">
      <c r="A30" t="s">
        <v>22</v>
      </c>
      <c r="B30" s="17">
        <v>0.2</v>
      </c>
    </row>
    <row r="31" spans="1:9" x14ac:dyDescent="0.25">
      <c r="A31" t="s">
        <v>18</v>
      </c>
      <c r="B31" s="17">
        <v>0.3</v>
      </c>
    </row>
    <row r="33" spans="1:6" s="1" customFormat="1" ht="13" x14ac:dyDescent="0.3">
      <c r="A33" s="14"/>
      <c r="B33" s="14"/>
      <c r="C33" s="36" t="s">
        <v>23</v>
      </c>
      <c r="D33" s="37"/>
      <c r="E33" s="36" t="s">
        <v>24</v>
      </c>
      <c r="F33" s="37"/>
    </row>
    <row r="34" spans="1:6" s="1" customFormat="1" ht="26" x14ac:dyDescent="0.3">
      <c r="A34" s="15" t="s">
        <v>16</v>
      </c>
      <c r="B34" s="15" t="s">
        <v>17</v>
      </c>
      <c r="C34" s="15" t="s">
        <v>19</v>
      </c>
      <c r="D34" s="15" t="s">
        <v>20</v>
      </c>
      <c r="E34" s="14" t="s">
        <v>19</v>
      </c>
      <c r="F34" s="14" t="s">
        <v>20</v>
      </c>
    </row>
    <row r="35" spans="1:6" x14ac:dyDescent="0.25">
      <c r="A35" s="13">
        <v>1041</v>
      </c>
      <c r="B35" s="16">
        <v>25</v>
      </c>
      <c r="C35" s="16">
        <f>$B$30*B35</f>
        <v>5</v>
      </c>
      <c r="D35" s="21">
        <f>$B$31*B35</f>
        <v>7.5</v>
      </c>
      <c r="E35" s="16">
        <f>B35-C35</f>
        <v>20</v>
      </c>
      <c r="F35" s="21">
        <f>B35-D35</f>
        <v>17.5</v>
      </c>
    </row>
    <row r="36" spans="1:6" x14ac:dyDescent="0.25">
      <c r="A36" s="13">
        <v>1042</v>
      </c>
      <c r="B36" s="16">
        <v>20</v>
      </c>
      <c r="C36" s="16">
        <f t="shared" ref="C36:C44" si="2">$B$30*B36</f>
        <v>4</v>
      </c>
      <c r="D36" s="21">
        <f t="shared" ref="D36:D44" si="3">$B$31*B36</f>
        <v>6</v>
      </c>
      <c r="E36" s="16">
        <f t="shared" ref="E36:E44" si="4">B36-C36</f>
        <v>16</v>
      </c>
      <c r="F36" s="21">
        <f t="shared" ref="F36:F44" si="5">B36-D36</f>
        <v>14</v>
      </c>
    </row>
    <row r="37" spans="1:6" x14ac:dyDescent="0.25">
      <c r="A37" s="13">
        <v>2923</v>
      </c>
      <c r="B37" s="16">
        <v>3</v>
      </c>
      <c r="C37" s="16">
        <f t="shared" si="2"/>
        <v>0.60000000000000009</v>
      </c>
      <c r="D37" s="21">
        <f t="shared" si="3"/>
        <v>0.89999999999999991</v>
      </c>
      <c r="E37" s="16">
        <f t="shared" si="4"/>
        <v>2.4</v>
      </c>
      <c r="F37" s="21">
        <f t="shared" si="5"/>
        <v>2.1</v>
      </c>
    </row>
    <row r="38" spans="1:6" x14ac:dyDescent="0.25">
      <c r="A38" s="13">
        <v>2930</v>
      </c>
      <c r="B38" s="16">
        <v>20</v>
      </c>
      <c r="C38" s="16">
        <f t="shared" si="2"/>
        <v>4</v>
      </c>
      <c r="D38" s="21">
        <f t="shared" si="3"/>
        <v>6</v>
      </c>
      <c r="E38" s="16">
        <f t="shared" si="4"/>
        <v>16</v>
      </c>
      <c r="F38" s="21">
        <f t="shared" si="5"/>
        <v>14</v>
      </c>
    </row>
    <row r="39" spans="1:6" x14ac:dyDescent="0.25">
      <c r="A39" s="13">
        <v>2941</v>
      </c>
      <c r="B39" s="16">
        <v>30</v>
      </c>
      <c r="C39" s="16">
        <f t="shared" si="2"/>
        <v>6</v>
      </c>
      <c r="D39" s="21">
        <f t="shared" si="3"/>
        <v>9</v>
      </c>
      <c r="E39" s="16">
        <f t="shared" si="4"/>
        <v>24</v>
      </c>
      <c r="F39" s="21">
        <f t="shared" si="5"/>
        <v>21</v>
      </c>
    </row>
    <row r="40" spans="1:6" x14ac:dyDescent="0.25">
      <c r="A40" s="13">
        <v>3601</v>
      </c>
      <c r="B40" s="16">
        <v>12</v>
      </c>
      <c r="C40" s="16">
        <f>$B$30*B40</f>
        <v>2.4000000000000004</v>
      </c>
      <c r="D40" s="21">
        <f t="shared" si="3"/>
        <v>3.5999999999999996</v>
      </c>
      <c r="E40" s="16">
        <f t="shared" si="4"/>
        <v>9.6</v>
      </c>
      <c r="F40" s="21">
        <f t="shared" si="5"/>
        <v>8.4</v>
      </c>
    </row>
    <row r="41" spans="1:6" x14ac:dyDescent="0.25">
      <c r="A41" s="13">
        <v>3602</v>
      </c>
      <c r="B41" s="16">
        <v>20</v>
      </c>
      <c r="C41" s="16">
        <f t="shared" si="2"/>
        <v>4</v>
      </c>
      <c r="D41" s="21">
        <f t="shared" si="3"/>
        <v>6</v>
      </c>
      <c r="E41" s="16">
        <f t="shared" si="4"/>
        <v>16</v>
      </c>
      <c r="F41" s="21">
        <f t="shared" si="5"/>
        <v>14</v>
      </c>
    </row>
    <row r="42" spans="1:6" x14ac:dyDescent="0.25">
      <c r="A42" s="13">
        <v>3610</v>
      </c>
      <c r="B42" s="16">
        <v>40</v>
      </c>
      <c r="C42" s="16">
        <f t="shared" si="2"/>
        <v>8</v>
      </c>
      <c r="D42" s="21">
        <f t="shared" si="3"/>
        <v>12</v>
      </c>
      <c r="E42" s="16">
        <f t="shared" si="4"/>
        <v>32</v>
      </c>
      <c r="F42" s="21">
        <f t="shared" si="5"/>
        <v>28</v>
      </c>
    </row>
    <row r="43" spans="1:6" x14ac:dyDescent="0.25">
      <c r="A43" s="13">
        <v>4020</v>
      </c>
      <c r="B43" s="16">
        <v>15</v>
      </c>
      <c r="C43" s="16">
        <f t="shared" si="2"/>
        <v>3</v>
      </c>
      <c r="D43" s="21">
        <f t="shared" si="3"/>
        <v>4.5</v>
      </c>
      <c r="E43" s="16">
        <f t="shared" si="4"/>
        <v>12</v>
      </c>
      <c r="F43" s="21">
        <f t="shared" si="5"/>
        <v>10.5</v>
      </c>
    </row>
    <row r="44" spans="1:6" x14ac:dyDescent="0.25">
      <c r="A44" s="13">
        <v>4210</v>
      </c>
      <c r="B44" s="16">
        <v>30</v>
      </c>
      <c r="C44" s="16">
        <f t="shared" si="2"/>
        <v>6</v>
      </c>
      <c r="D44" s="21">
        <f t="shared" si="3"/>
        <v>9</v>
      </c>
      <c r="E44" s="16">
        <f t="shared" si="4"/>
        <v>24</v>
      </c>
      <c r="F44" s="21">
        <f t="shared" si="5"/>
        <v>21</v>
      </c>
    </row>
    <row r="46" spans="1:6" ht="13" x14ac:dyDescent="0.3">
      <c r="A46" s="1" t="s">
        <v>25</v>
      </c>
    </row>
    <row r="47" spans="1:6" ht="13" x14ac:dyDescent="0.3">
      <c r="A47" s="1"/>
    </row>
    <row r="48" spans="1:6" s="22" customFormat="1" ht="60" customHeight="1" x14ac:dyDescent="0.25">
      <c r="A48" s="31" t="s">
        <v>31</v>
      </c>
      <c r="B48" s="32"/>
      <c r="C48" s="32"/>
      <c r="D48" s="32"/>
      <c r="E48" s="32"/>
      <c r="F48" s="32"/>
    </row>
    <row r="49" spans="1:5" ht="13" thickBot="1" x14ac:dyDescent="0.3"/>
    <row r="50" spans="1:5" ht="13" x14ac:dyDescent="0.3">
      <c r="A50" s="33" t="s">
        <v>2</v>
      </c>
      <c r="B50" s="34"/>
      <c r="C50" s="34"/>
      <c r="D50" s="34"/>
      <c r="E50" s="35"/>
    </row>
    <row r="51" spans="1:5" ht="13" x14ac:dyDescent="0.3">
      <c r="A51" s="28" t="s">
        <v>27</v>
      </c>
      <c r="B51" s="29"/>
      <c r="C51" s="29"/>
      <c r="D51" s="29"/>
      <c r="E51" s="30"/>
    </row>
    <row r="52" spans="1:5" ht="13" x14ac:dyDescent="0.3">
      <c r="A52" s="19"/>
      <c r="B52" s="20"/>
      <c r="C52" s="20"/>
      <c r="D52" s="20" t="s">
        <v>26</v>
      </c>
      <c r="E52" s="24">
        <v>0.2</v>
      </c>
    </row>
    <row r="53" spans="1:5" x14ac:dyDescent="0.25">
      <c r="A53" s="4"/>
      <c r="E53" s="5"/>
    </row>
    <row r="54" spans="1:5" ht="13" x14ac:dyDescent="0.3">
      <c r="A54" s="7"/>
      <c r="B54" s="1">
        <v>2005</v>
      </c>
      <c r="C54" s="8">
        <v>2006</v>
      </c>
      <c r="D54" s="25">
        <v>0.15</v>
      </c>
      <c r="E54" s="9"/>
    </row>
    <row r="55" spans="1:5" x14ac:dyDescent="0.25">
      <c r="A55" s="4" t="s">
        <v>9</v>
      </c>
      <c r="B55" s="23">
        <v>104000</v>
      </c>
      <c r="C55">
        <f>B55+$E$52*B55</f>
        <v>124800</v>
      </c>
      <c r="D55">
        <f>B55+$D$54*B55</f>
        <v>119600</v>
      </c>
      <c r="E55" s="5"/>
    </row>
    <row r="56" spans="1:5" x14ac:dyDescent="0.25">
      <c r="A56" s="4" t="s">
        <v>10</v>
      </c>
      <c r="B56" s="23">
        <v>156000</v>
      </c>
      <c r="C56">
        <f t="shared" ref="C56:C58" si="6">B56+$E$52*B56</f>
        <v>187200</v>
      </c>
      <c r="D56">
        <f t="shared" ref="D56:D58" si="7">B56+$D$54*B56</f>
        <v>179400</v>
      </c>
      <c r="E56" s="5"/>
    </row>
    <row r="57" spans="1:5" x14ac:dyDescent="0.25">
      <c r="A57" s="4" t="s">
        <v>11</v>
      </c>
      <c r="B57" s="23">
        <v>78000</v>
      </c>
      <c r="C57">
        <f t="shared" si="6"/>
        <v>93600</v>
      </c>
      <c r="D57">
        <f t="shared" si="7"/>
        <v>89700</v>
      </c>
      <c r="E57" s="5"/>
    </row>
    <row r="58" spans="1:5" x14ac:dyDescent="0.25">
      <c r="A58" s="4" t="s">
        <v>12</v>
      </c>
      <c r="B58" s="23">
        <v>100000</v>
      </c>
      <c r="C58">
        <f t="shared" si="6"/>
        <v>120000</v>
      </c>
      <c r="D58">
        <f t="shared" si="7"/>
        <v>115000</v>
      </c>
      <c r="E58" s="5"/>
    </row>
    <row r="59" spans="1:5" ht="13" thickBot="1" x14ac:dyDescent="0.3">
      <c r="A59" s="10"/>
      <c r="B59" s="11"/>
      <c r="C59" s="11"/>
      <c r="D59" s="11"/>
      <c r="E59" s="12"/>
    </row>
    <row r="61" spans="1:5" x14ac:dyDescent="0.25">
      <c r="A61" t="s">
        <v>28</v>
      </c>
    </row>
    <row r="62" spans="1:5" ht="13" x14ac:dyDescent="0.3">
      <c r="A62" t="s">
        <v>29</v>
      </c>
    </row>
  </sheetData>
  <mergeCells count="11">
    <mergeCell ref="A25:I25"/>
    <mergeCell ref="A51:E51"/>
    <mergeCell ref="A48:F48"/>
    <mergeCell ref="A7:I7"/>
    <mergeCell ref="A9:E9"/>
    <mergeCell ref="A10:E10"/>
    <mergeCell ref="A50:E50"/>
    <mergeCell ref="E33:F33"/>
    <mergeCell ref="C33:D33"/>
    <mergeCell ref="A27:F27"/>
    <mergeCell ref="A21:I21"/>
  </mergeCells>
  <phoneticPr fontId="4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UNITEC Institute of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Holden</dc:creator>
  <cp:lastModifiedBy>HP</cp:lastModifiedBy>
  <cp:lastPrinted>2005-08-17T02:03:48Z</cp:lastPrinted>
  <dcterms:created xsi:type="dcterms:W3CDTF">2005-02-28T00:07:27Z</dcterms:created>
  <dcterms:modified xsi:type="dcterms:W3CDTF">2026-02-28T17:58:55Z</dcterms:modified>
</cp:coreProperties>
</file>