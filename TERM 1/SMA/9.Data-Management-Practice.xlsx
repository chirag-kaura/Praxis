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080" yWindow="1160" windowWidth="19420" windowHeight="11020" tabRatio="719" firstSheet="1" activeTab="5"/>
  </bookViews>
  <sheets>
    <sheet name="Raw_CSV_Import" sheetId="1" r:id="rId1"/>
    <sheet name="QUESTIONS" sheetId="2" r:id="rId2"/>
    <sheet name="UNITS BY REGION" sheetId="6" r:id="rId3"/>
    <sheet name="REVENUE BY CATEGORY" sheetId="4" r:id="rId4"/>
    <sheet name="REVENUE BY MONTH" sheetId="5" r:id="rId5"/>
    <sheet name="REVENUE BY REGION" sheetId="9" r:id="rId6"/>
  </sheets>
  <definedNames>
    <definedName name="_xlnm._FilterDatabase" localSheetId="0" hidden="1">Raw_CSV_Import!$A$1:$H$51</definedName>
  </definedNames>
  <calcPr calcId="144525"/>
  <pivotCaches>
    <pivotCache cacheId="1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C2" i="1"/>
  <c r="C48" i="1"/>
  <c r="C47" i="1"/>
  <c r="C46" i="1"/>
  <c r="C44" i="1"/>
  <c r="C37" i="1"/>
  <c r="C36" i="1"/>
  <c r="C34" i="1"/>
  <c r="C31" i="1"/>
  <c r="C30" i="1"/>
  <c r="C28" i="1"/>
  <c r="C22" i="1"/>
  <c r="C21" i="1"/>
  <c r="C20" i="1"/>
  <c r="C18" i="1"/>
  <c r="C14" i="1"/>
  <c r="C12" i="1"/>
  <c r="C6" i="1"/>
  <c r="C5" i="1"/>
  <c r="C4" i="1"/>
  <c r="C38" i="1"/>
  <c r="C35" i="1"/>
  <c r="C32" i="1"/>
  <c r="C25" i="1"/>
  <c r="C23" i="1"/>
  <c r="C19" i="1"/>
  <c r="C16" i="1"/>
  <c r="C15" i="1"/>
  <c r="C3" i="1"/>
  <c r="C40" i="1"/>
  <c r="C39" i="1"/>
  <c r="C24" i="1"/>
  <c r="C8" i="1"/>
  <c r="C7" i="1"/>
  <c r="C9" i="1"/>
  <c r="C10" i="1"/>
  <c r="C11" i="1"/>
  <c r="C13" i="1"/>
  <c r="C17" i="1"/>
  <c r="C26" i="1"/>
  <c r="C27" i="1"/>
  <c r="C29" i="1"/>
  <c r="C33" i="1"/>
  <c r="C41" i="1"/>
  <c r="C42" i="1"/>
  <c r="C43" i="1"/>
  <c r="C45" i="1"/>
  <c r="C49" i="1"/>
  <c r="C50" i="1"/>
  <c r="C51" i="1"/>
</calcChain>
</file>

<file path=xl/sharedStrings.xml><?xml version="1.0" encoding="utf-8"?>
<sst xmlns="http://schemas.openxmlformats.org/spreadsheetml/2006/main" count="247" uniqueCount="105">
  <si>
    <t>Order_ID</t>
  </si>
  <si>
    <t>Date</t>
  </si>
  <si>
    <t>Region</t>
  </si>
  <si>
    <t>Product_Category</t>
  </si>
  <si>
    <t>Product_Name</t>
  </si>
  <si>
    <t>Units</t>
  </si>
  <si>
    <t>Unit_Price</t>
  </si>
  <si>
    <t>Revenue</t>
  </si>
  <si>
    <t>2026-01-05</t>
  </si>
  <si>
    <t>ELECTRONICS</t>
  </si>
  <si>
    <t>Tablet Ultra</t>
  </si>
  <si>
    <t>2026-01-06</t>
  </si>
  <si>
    <t>Electronics</t>
  </si>
  <si>
    <t>Desktop Ultra</t>
  </si>
  <si>
    <t>2026-01-07</t>
  </si>
  <si>
    <t>Accessories</t>
  </si>
  <si>
    <t>Keyboard Mech</t>
  </si>
  <si>
    <t>2026-01-08</t>
  </si>
  <si>
    <t>Laptop Bag</t>
  </si>
  <si>
    <t>2026-01-09</t>
  </si>
  <si>
    <t>Furniture</t>
  </si>
  <si>
    <t>Chair Premium</t>
  </si>
  <si>
    <t>2026-01-10</t>
  </si>
  <si>
    <t>Smartwatch Pro</t>
  </si>
  <si>
    <t>2026-01-11</t>
  </si>
  <si>
    <t>2026-01-12</t>
  </si>
  <si>
    <t>2026-01-13</t>
  </si>
  <si>
    <t>2026-01-14</t>
  </si>
  <si>
    <t>2026-01-15</t>
  </si>
  <si>
    <t>2026-01-16</t>
  </si>
  <si>
    <t>FURNITURE</t>
  </si>
  <si>
    <t>Standing Desk</t>
  </si>
  <si>
    <t>2026-01-17</t>
  </si>
  <si>
    <t>2026-01-18</t>
  </si>
  <si>
    <t>File Cabinet</t>
  </si>
  <si>
    <t>2026-01-19</t>
  </si>
  <si>
    <t>Webcam HD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</si>
  <si>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</si>
  <si>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</si>
  <si>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</si>
  <si>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</si>
  <si>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</si>
  <si>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</si>
  <si>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</si>
  <si>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Wireless Earbuds</t>
  </si>
  <si>
    <t>2026-01-27</t>
  </si>
  <si>
    <t>2026-01-28</t>
  </si>
  <si>
    <t>Laptop Pro 15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</si>
  <si>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</si>
  <si>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</si>
  <si>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</si>
  <si>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</si>
  <si>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</si>
  <si>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</si>
  <si>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</si>
  <si>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Office Desk Elite</t>
  </si>
  <si>
    <t>2026-02-05</t>
  </si>
  <si>
    <t>2026-02-06</t>
  </si>
  <si>
    <t>Book Shelf</t>
  </si>
  <si>
    <t>2026-02-07</t>
  </si>
  <si>
    <t>ACCESSORIES</t>
  </si>
  <si>
    <t>2026-02-08</t>
  </si>
  <si>
    <t>2026-02-09</t>
  </si>
  <si>
    <t>2026-02-10</t>
  </si>
  <si>
    <t>Wireless Mouse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</si>
  <si>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</si>
  <si>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</si>
  <si>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</si>
  <si>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</si>
  <si>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</si>
  <si>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</si>
  <si>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</si>
  <si>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</si>
  <si>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</si>
  <si>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USB-C Hub</t>
  </si>
  <si>
    <t>2026-02-20</t>
  </si>
  <si>
    <t>2026-02-21</t>
  </si>
  <si>
    <t>2026-02-22</t>
  </si>
  <si>
    <t>2026-02-23</t>
  </si>
  <si>
    <t>west</t>
  </si>
  <si>
    <t>North</t>
  </si>
  <si>
    <t>West</t>
  </si>
  <si>
    <t>East</t>
  </si>
  <si>
    <t>South</t>
  </si>
  <si>
    <t>north</t>
  </si>
  <si>
    <t>east</t>
  </si>
  <si>
    <t>south</t>
  </si>
  <si>
    <t>Row Labels</t>
  </si>
  <si>
    <t>EAST</t>
  </si>
  <si>
    <t>NORTH</t>
  </si>
  <si>
    <t>SOUTH</t>
  </si>
  <si>
    <t>WEST</t>
  </si>
  <si>
    <t>Grand Total</t>
  </si>
  <si>
    <t>Column Labels</t>
  </si>
  <si>
    <t>Sum of Revenue</t>
  </si>
  <si>
    <t>(All)</t>
  </si>
  <si>
    <t>Count of Units</t>
  </si>
  <si>
    <t xml:space="preserve">Inference : </t>
  </si>
  <si>
    <t>In South India we don’t have much unit sales for accessoies</t>
  </si>
  <si>
    <t>Questions:</t>
  </si>
  <si>
    <t>1.Remove Duplicates</t>
  </si>
  <si>
    <t>2.clean and standardize</t>
  </si>
  <si>
    <t>3.Regional performance</t>
  </si>
  <si>
    <t>4.category mix</t>
  </si>
  <si>
    <t>5.Recommendation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</si>
</sst>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0" fontId="2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4" fontId="0" fillId="0" borderId="0" xfId="0" applyNumberFormat="1"/>
    <xf numFmtId="10" fontId="0" fillId="2" borderId="0" xfId="0" applyNumberFormat="1" applyFill="1"/>
    <xf numFmtId="10" fontId="0" fillId="3" borderId="0" xfId="0" applyNumberFormat="1" applyFill="1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8">
    <dxf>
      <numFmt numFmtId="19" formatCode="dd/mm/yyyy"/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[Data-Management-Practice.xlsx]UNITS BY REGION!PivotTable3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'UNITS BY REGION'!$B$4:$B$5</c:f>
              <c:strCache>
                <c:ptCount val="1"/>
                <c:pt idx="0">
                  <c:v>ACCESSORIES</c:v>
                </c:pt>
              </c:strCache>
            </c:strRef>
          </c:tx>
          <c:invertIfNegative val="0"/>
          <c:cat>
            <c:strRef>
              <c:f>'UNITS BY REGION'!$A$6:$A$10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'UNITS BY REGION'!$B$6:$B$10</c:f>
              <c:numCache>
                <c:formatCode>0.00%</c:formatCode>
                <c:ptCount val="4"/>
                <c:pt idx="0">
                  <c:v>0.26666666666666666</c:v>
                </c:pt>
                <c:pt idx="1">
                  <c:v>0.4</c:v>
                </c:pt>
                <c:pt idx="2">
                  <c:v>6.6666666666666666E-2</c:v>
                </c:pt>
                <c:pt idx="3">
                  <c:v>0.26666666666666666</c:v>
                </c:pt>
              </c:numCache>
            </c:numRef>
          </c:val>
        </c:ser>
        <c:ser>
          <c:idx val="1"/>
          <c:order val="1"/>
          <c:tx>
            <c:strRef>
              <c:f>'UNITS BY REGION'!$C$4:$C$5</c:f>
              <c:strCache>
                <c:ptCount val="1"/>
                <c:pt idx="0">
                  <c:v>ELECTRONICS</c:v>
                </c:pt>
              </c:strCache>
            </c:strRef>
          </c:tx>
          <c:invertIfNegative val="0"/>
          <c:cat>
            <c:strRef>
              <c:f>'UNITS BY REGION'!$A$6:$A$10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'UNITS BY REGION'!$C$6:$C$10</c:f>
              <c:numCache>
                <c:formatCode>0.00%</c:formatCode>
                <c:ptCount val="4"/>
                <c:pt idx="0">
                  <c:v>0.13636363636363635</c:v>
                </c:pt>
                <c:pt idx="1">
                  <c:v>0.27272727272727271</c:v>
                </c:pt>
                <c:pt idx="2">
                  <c:v>0.22727272727272727</c:v>
                </c:pt>
                <c:pt idx="3">
                  <c:v>0.36363636363636365</c:v>
                </c:pt>
              </c:numCache>
            </c:numRef>
          </c:val>
        </c:ser>
        <c:ser>
          <c:idx val="2"/>
          <c:order val="2"/>
          <c:tx>
            <c:strRef>
              <c:f>'UNITS BY REGION'!$D$4:$D$5</c:f>
              <c:strCache>
                <c:ptCount val="1"/>
                <c:pt idx="0">
                  <c:v>FURNITURE</c:v>
                </c:pt>
              </c:strCache>
            </c:strRef>
          </c:tx>
          <c:invertIfNegative val="0"/>
          <c:cat>
            <c:strRef>
              <c:f>'UNITS BY REGION'!$A$6:$A$10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'UNITS BY REGION'!$D$6:$D$10</c:f>
              <c:numCache>
                <c:formatCode>0.00%</c:formatCode>
                <c:ptCount val="4"/>
                <c:pt idx="0">
                  <c:v>0.46153846153846156</c:v>
                </c:pt>
                <c:pt idx="1">
                  <c:v>0.23076923076923078</c:v>
                </c:pt>
                <c:pt idx="2">
                  <c:v>0.15384615384615385</c:v>
                </c:pt>
                <c:pt idx="3">
                  <c:v>0.15384615384615385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39936"/>
        <c:axId val="145031552"/>
      </c:barChart>
      <c:catAx>
        <c:axId val="144439936"/>
        <c:scaling>
          <c:orientation val="minMax"/>
        </c:scaling>
        <c:delete val="0"/>
        <c:axPos val="b"/>
        <c:majorTickMark val="out"/>
        <c:minorTickMark val="none"/>
        <c:tickLblPos val="nextTo"/>
        <c:crossAx val="145031552"/>
        <c:crosses val="autoZero"/>
        <c:auto val="1"/>
        <c:lblAlgn val="ctr"/>
        <c:lblOffset val="100"/>
        <c:noMultiLvlLbl val="0"/>
      </c:catAx>
      <c:valAx>
        <c:axId val="14503155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444399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[Data-Management-Practice.xlsx]REVENUE BY CATEGORY!PivotTable1</c:name>
    <c:fmtId val="1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view3D>
      <c:rotX val="15"/>
      <c:rotY val="20"/>
      <c:rAngAx val="1"/>
    </c:view3D>
    <c:floor>
      <c:thickness val="0"/>
      <c:spPr>
        <a:noFill/>
        <a:ln w="9525">
          <a:noFill/>
        </a:ln>
      </c:spPr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'REVENUE BY CATEGORY'!$B$3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'REVENUE BY CATEGORY'!$A$4:$A$7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'REVENUE BY CATEGORY'!$B$4:$B$7</c:f>
              <c:numCache>
                <c:formatCode>0.00%</c:formatCode>
                <c:ptCount val="3"/>
                <c:pt idx="0">
                  <c:v>4.0734737979470553E-2</c:v>
                </c:pt>
                <c:pt idx="1">
                  <c:v>0.85294435440302541</c:v>
                </c:pt>
                <c:pt idx="2">
                  <c:v>0.10632090761750405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45089280"/>
        <c:axId val="145090816"/>
        <c:axId val="0"/>
      </c:bar3DChart>
      <c:catAx>
        <c:axId val="145089280"/>
        <c:scaling>
          <c:orientation val="minMax"/>
        </c:scaling>
        <c:delete val="0"/>
        <c:axPos val="b"/>
        <c:majorTickMark val="out"/>
        <c:minorTickMark val="none"/>
        <c:tickLblPos val="nextTo"/>
        <c:crossAx val="145090816"/>
        <c:crosses val="autoZero"/>
        <c:auto val="1"/>
        <c:lblAlgn val="ctr"/>
        <c:lblOffset val="100"/>
        <c:noMultiLvlLbl val="0"/>
      </c:catAx>
      <c:valAx>
        <c:axId val="145090816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1450892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390525</xdr:colOff>
      <xdr:row>3</xdr:row>
      <xdr:rowOff>60325</xdr:rowOff>
    </xdr:from>
    <xdr:to>
      <xdr:col>8</xdr:col>
      <xdr:colOff>1317625</xdr:colOff>
      <xdr:row>18</xdr:row>
      <xdr:rowOff>41275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225425</xdr:colOff>
      <xdr:row>1</xdr:row>
      <xdr:rowOff>155575</xdr:rowOff>
    </xdr:from>
    <xdr:to>
      <xdr:col>9</xdr:col>
      <xdr:colOff>257175</xdr:colOff>
      <xdr:row>16</xdr:row>
      <xdr:rowOff>136525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69.396833449071" createdVersion="4" refreshedVersion="4" minRefreshableVersion="3" recordCount="50">
  <cacheSource type="worksheet">
    <worksheetSource ref="A1:H51" sheet="Raw_CSV_Import"/>
  </cacheSource>
  <cacheFields count="8">
    <cacheField name="Order_ID" numFmtId="0">
      <sharedItems containsSemiMixedTypes="0" containsString="0" containsNumber="1" containsInteger="1" minValue="1001" maxValue="1050"/>
    </cacheField>
    <cacheField name="Date" numFmtId="0">
      <sharedItems count="50">
        <s v="2026-01-05"/>
        <s v="2026-01-06"/>
        <s v="2026-01-07"/>
        <s v="2026-01-08"/>
        <s v="2026-01-09"/>
        <s v="2026-01-10"/>
        <s v="2026-01-11"/>
        <s v="2026-01-12"/>
        <s v="2026-01-13"/>
        <s v="2026-01-14"/>
        <s v="2026-01-15"/>
        <s v="2026-01-16"/>
        <s v="2026-01-17"/>
        <s v="2026-01-18"/>
        <s v="2026-01-19"/>
        <s v="2026-01-20"/>
        <s v="2026-01-21"/>
        <s v="2026-01-22"/>
        <s v="2026-01-23"/>
        <s v="2026-01-24"/>
        <s v="2026-01-25"/>
        <s v="2026-01-26"/>
        <s v="2026-01-27"/>
        <s v="2026-01-28"/>
        <s v="2026-01-29"/>
        <s v="2026-01-30"/>
        <s v="2026-01-31"/>
        <s v="2026-02-01"/>
        <s v="2026-02-02"/>
        <s v="2026-02-03"/>
        <s v="2026-02-04"/>
        <s v="2026-02-05"/>
        <s v="2026-02-06"/>
        <s v="2026-02-07"/>
        <s v="2026-02-08"/>
        <s v="2026-02-09"/>
        <s v="2026-02-10"/>
        <s v="2026-02-11"/>
        <s v="2026-02-12"/>
        <s v="2026-02-13"/>
        <s v="2026-02-14"/>
        <s v="2026-02-15"/>
        <s v="2026-02-16"/>
        <s v="2026-02-17"/>
        <s v="2026-02-18"/>
        <s v="2026-02-19"/>
        <s v="2026-02-20"/>
        <s v="2026-02-21"/>
        <s v="2026-02-22"/>
        <s v="2026-02-23"/>
      </sharedItems>
    </cacheField>
    <cacheField name="Region" numFmtId="0">
      <sharedItems count="4">
        <s v="WEST"/>
        <s v="NORTH"/>
        <s v="EAST"/>
        <s v="SOUTH"/>
      </sharedItems>
    </cacheField>
    <cacheField name="PRODUCT_CATEGORY" numFmtId="0">
      <sharedItems count="3">
        <s v="ELECTRONICS"/>
        <s v="ACCESSORIES"/>
        <s v="FURNITURE"/>
      </sharedItems>
    </cacheField>
    <cacheField name="Product_Name" numFmtId="0">
      <sharedItems count="15">
        <s v="Tablet Ultra"/>
        <s v="Desktop Ultra"/>
        <s v="Keyboard Mech"/>
        <s v="Laptop Bag"/>
        <s v="Chair Premium"/>
        <s v="Smartwatch Pro"/>
        <s v="Standing Desk"/>
        <s v="File Cabinet"/>
        <s v="Webcam HD"/>
        <s v="Wireless Earbuds"/>
        <s v="Laptop Pro 15"/>
        <s v="Office Desk Elite"/>
        <s v="Book Shelf"/>
        <s v="Wireless Mouse"/>
        <s v="USB-C Hub"/>
      </sharedItems>
    </cacheField>
    <cacheField name="Units" numFmtId="0">
      <sharedItems containsSemiMixedTypes="0" containsString="0" containsNumber="1" containsInteger="1" minValue="1" maxValue="14" count="14">
        <n v="8"/>
        <n v="3"/>
        <n v="2"/>
        <n v="12"/>
        <n v="10"/>
        <n v="9"/>
        <n v="5"/>
        <n v="7"/>
        <n v="14"/>
        <n v="4"/>
        <n v="13"/>
        <n v="1"/>
        <n v="11"/>
        <n v="6"/>
      </sharedItems>
    </cacheField>
    <cacheField name="Unit_Price" numFmtId="0">
      <sharedItems containsSemiMixedTypes="0" containsString="0" containsNumber="1" containsInteger="1" minValue="1500" maxValue="85000" count="14">
        <n v="35000"/>
        <n v="65000"/>
        <n v="4500"/>
        <n v="2000"/>
        <n v="8000"/>
        <n v="25000"/>
        <n v="18000"/>
        <n v="6000"/>
        <n v="3500"/>
        <n v="85000"/>
        <n v="15000"/>
        <n v="5000"/>
        <n v="1500"/>
        <n v="2500"/>
      </sharedItems>
    </cacheField>
    <cacheField name="Revenue" numFmtId="0">
      <sharedItems containsSemiMixedTypes="0" containsString="0" containsNumber="1" containsInteger="1" minValue="4000" maxValue="1105000" count="41">
        <n v="280000"/>
        <n v="195000"/>
        <n v="36000"/>
        <n v="4000"/>
        <n v="96000"/>
        <n v="250000"/>
        <n v="225000"/>
        <n v="45000"/>
        <n v="54000"/>
        <n v="175000"/>
        <n v="18000"/>
        <n v="162000"/>
        <n v="80000"/>
        <n v="12000"/>
        <n v="24500"/>
        <n v="490000"/>
        <n v="32000"/>
        <n v="650000"/>
        <n v="112000"/>
        <n v="16000"/>
        <n v="585000"/>
        <n v="1105000"/>
        <n v="765000"/>
        <n v="1020000"/>
        <n v="13500"/>
        <n v="4500"/>
        <n v="455000"/>
        <n v="105000"/>
        <n v="15000"/>
        <n v="28000"/>
        <n v="40500"/>
        <n v="245000"/>
        <n v="350000"/>
        <n v="22000"/>
        <n v="104000"/>
        <n v="48000"/>
        <n v="50000"/>
        <n v="85000"/>
        <n v="10000"/>
        <n v="35000"/>
        <n v="27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n v="1001"/>
    <x v="0"/>
    <x v="0"/>
    <x v="0"/>
    <x v="0"/>
    <x v="0"/>
    <x v="0"/>
    <x v="0"/>
  </r>
  <r>
    <n v="1002"/>
    <x v="1"/>
    <x v="1"/>
    <x v="0"/>
    <x v="1"/>
    <x v="1"/>
    <x v="1"/>
    <x v="1"/>
  </r>
  <r>
    <n v="1003"/>
    <x v="2"/>
    <x v="0"/>
    <x v="1"/>
    <x v="2"/>
    <x v="0"/>
    <x v="2"/>
    <x v="2"/>
  </r>
  <r>
    <n v="1004"/>
    <x v="3"/>
    <x v="1"/>
    <x v="1"/>
    <x v="3"/>
    <x v="2"/>
    <x v="3"/>
    <x v="3"/>
  </r>
  <r>
    <n v="1005"/>
    <x v="4"/>
    <x v="2"/>
    <x v="2"/>
    <x v="4"/>
    <x v="3"/>
    <x v="4"/>
    <x v="4"/>
  </r>
  <r>
    <n v="1006"/>
    <x v="5"/>
    <x v="1"/>
    <x v="0"/>
    <x v="5"/>
    <x v="4"/>
    <x v="5"/>
    <x v="5"/>
  </r>
  <r>
    <n v="1007"/>
    <x v="6"/>
    <x v="3"/>
    <x v="0"/>
    <x v="5"/>
    <x v="5"/>
    <x v="5"/>
    <x v="6"/>
  </r>
  <r>
    <n v="1008"/>
    <x v="7"/>
    <x v="1"/>
    <x v="1"/>
    <x v="2"/>
    <x v="4"/>
    <x v="2"/>
    <x v="7"/>
  </r>
  <r>
    <n v="1009"/>
    <x v="8"/>
    <x v="2"/>
    <x v="1"/>
    <x v="2"/>
    <x v="3"/>
    <x v="2"/>
    <x v="8"/>
  </r>
  <r>
    <n v="1010"/>
    <x v="9"/>
    <x v="0"/>
    <x v="0"/>
    <x v="0"/>
    <x v="6"/>
    <x v="0"/>
    <x v="9"/>
  </r>
  <r>
    <n v="1011"/>
    <x v="10"/>
    <x v="0"/>
    <x v="1"/>
    <x v="3"/>
    <x v="5"/>
    <x v="3"/>
    <x v="10"/>
  </r>
  <r>
    <n v="1012"/>
    <x v="11"/>
    <x v="0"/>
    <x v="2"/>
    <x v="6"/>
    <x v="5"/>
    <x v="6"/>
    <x v="11"/>
  </r>
  <r>
    <n v="1013"/>
    <x v="12"/>
    <x v="2"/>
    <x v="2"/>
    <x v="4"/>
    <x v="4"/>
    <x v="4"/>
    <x v="12"/>
  </r>
  <r>
    <n v="1014"/>
    <x v="13"/>
    <x v="1"/>
    <x v="2"/>
    <x v="7"/>
    <x v="2"/>
    <x v="7"/>
    <x v="13"/>
  </r>
  <r>
    <n v="1015"/>
    <x v="14"/>
    <x v="2"/>
    <x v="1"/>
    <x v="8"/>
    <x v="7"/>
    <x v="8"/>
    <x v="14"/>
  </r>
  <r>
    <n v="1016"/>
    <x v="15"/>
    <x v="2"/>
    <x v="0"/>
    <x v="0"/>
    <x v="8"/>
    <x v="0"/>
    <x v="15"/>
  </r>
  <r>
    <n v="1017"/>
    <x v="16"/>
    <x v="1"/>
    <x v="2"/>
    <x v="6"/>
    <x v="2"/>
    <x v="6"/>
    <x v="2"/>
  </r>
  <r>
    <n v="1018"/>
    <x v="17"/>
    <x v="3"/>
    <x v="2"/>
    <x v="4"/>
    <x v="9"/>
    <x v="4"/>
    <x v="16"/>
  </r>
  <r>
    <n v="1019"/>
    <x v="18"/>
    <x v="3"/>
    <x v="0"/>
    <x v="1"/>
    <x v="4"/>
    <x v="1"/>
    <x v="17"/>
  </r>
  <r>
    <n v="1020"/>
    <x v="19"/>
    <x v="2"/>
    <x v="2"/>
    <x v="4"/>
    <x v="8"/>
    <x v="4"/>
    <x v="18"/>
  </r>
  <r>
    <n v="1021"/>
    <x v="20"/>
    <x v="2"/>
    <x v="2"/>
    <x v="6"/>
    <x v="5"/>
    <x v="6"/>
    <x v="11"/>
  </r>
  <r>
    <n v="1022"/>
    <x v="21"/>
    <x v="3"/>
    <x v="0"/>
    <x v="9"/>
    <x v="2"/>
    <x v="4"/>
    <x v="19"/>
  </r>
  <r>
    <n v="1023"/>
    <x v="22"/>
    <x v="0"/>
    <x v="0"/>
    <x v="1"/>
    <x v="5"/>
    <x v="1"/>
    <x v="20"/>
  </r>
  <r>
    <n v="1024"/>
    <x v="23"/>
    <x v="2"/>
    <x v="0"/>
    <x v="10"/>
    <x v="10"/>
    <x v="9"/>
    <x v="21"/>
  </r>
  <r>
    <n v="1025"/>
    <x v="24"/>
    <x v="0"/>
    <x v="0"/>
    <x v="10"/>
    <x v="5"/>
    <x v="9"/>
    <x v="22"/>
  </r>
  <r>
    <n v="1026"/>
    <x v="25"/>
    <x v="0"/>
    <x v="0"/>
    <x v="10"/>
    <x v="3"/>
    <x v="9"/>
    <x v="23"/>
  </r>
  <r>
    <n v="1027"/>
    <x v="26"/>
    <x v="2"/>
    <x v="1"/>
    <x v="2"/>
    <x v="1"/>
    <x v="2"/>
    <x v="24"/>
  </r>
  <r>
    <n v="1028"/>
    <x v="27"/>
    <x v="1"/>
    <x v="1"/>
    <x v="2"/>
    <x v="11"/>
    <x v="2"/>
    <x v="25"/>
  </r>
  <r>
    <n v="1029"/>
    <x v="28"/>
    <x v="0"/>
    <x v="0"/>
    <x v="1"/>
    <x v="7"/>
    <x v="1"/>
    <x v="26"/>
  </r>
  <r>
    <n v="1030"/>
    <x v="29"/>
    <x v="3"/>
    <x v="0"/>
    <x v="5"/>
    <x v="7"/>
    <x v="5"/>
    <x v="9"/>
  </r>
  <r>
    <n v="1031"/>
    <x v="30"/>
    <x v="1"/>
    <x v="2"/>
    <x v="11"/>
    <x v="7"/>
    <x v="10"/>
    <x v="27"/>
  </r>
  <r>
    <n v="1032"/>
    <x v="31"/>
    <x v="0"/>
    <x v="2"/>
    <x v="7"/>
    <x v="1"/>
    <x v="7"/>
    <x v="10"/>
  </r>
  <r>
    <n v="1033"/>
    <x v="32"/>
    <x v="2"/>
    <x v="2"/>
    <x v="12"/>
    <x v="1"/>
    <x v="11"/>
    <x v="28"/>
  </r>
  <r>
    <n v="1034"/>
    <x v="33"/>
    <x v="1"/>
    <x v="1"/>
    <x v="3"/>
    <x v="8"/>
    <x v="3"/>
    <x v="29"/>
  </r>
  <r>
    <n v="1035"/>
    <x v="34"/>
    <x v="0"/>
    <x v="0"/>
    <x v="9"/>
    <x v="4"/>
    <x v="4"/>
    <x v="12"/>
  </r>
  <r>
    <n v="1036"/>
    <x v="35"/>
    <x v="0"/>
    <x v="1"/>
    <x v="2"/>
    <x v="5"/>
    <x v="2"/>
    <x v="30"/>
  </r>
  <r>
    <n v="1037"/>
    <x v="36"/>
    <x v="0"/>
    <x v="1"/>
    <x v="13"/>
    <x v="4"/>
    <x v="12"/>
    <x v="28"/>
  </r>
  <r>
    <n v="1038"/>
    <x v="37"/>
    <x v="2"/>
    <x v="0"/>
    <x v="0"/>
    <x v="7"/>
    <x v="0"/>
    <x v="31"/>
  </r>
  <r>
    <n v="1039"/>
    <x v="38"/>
    <x v="1"/>
    <x v="0"/>
    <x v="5"/>
    <x v="8"/>
    <x v="5"/>
    <x v="32"/>
  </r>
  <r>
    <n v="1040"/>
    <x v="39"/>
    <x v="1"/>
    <x v="1"/>
    <x v="3"/>
    <x v="12"/>
    <x v="3"/>
    <x v="33"/>
  </r>
  <r>
    <n v="1041"/>
    <x v="40"/>
    <x v="1"/>
    <x v="0"/>
    <x v="0"/>
    <x v="1"/>
    <x v="0"/>
    <x v="27"/>
  </r>
  <r>
    <n v="1042"/>
    <x v="41"/>
    <x v="3"/>
    <x v="2"/>
    <x v="4"/>
    <x v="10"/>
    <x v="4"/>
    <x v="34"/>
  </r>
  <r>
    <n v="1043"/>
    <x v="42"/>
    <x v="3"/>
    <x v="0"/>
    <x v="9"/>
    <x v="13"/>
    <x v="4"/>
    <x v="35"/>
  </r>
  <r>
    <n v="1044"/>
    <x v="43"/>
    <x v="2"/>
    <x v="2"/>
    <x v="12"/>
    <x v="4"/>
    <x v="11"/>
    <x v="36"/>
  </r>
  <r>
    <n v="1045"/>
    <x v="44"/>
    <x v="0"/>
    <x v="0"/>
    <x v="10"/>
    <x v="11"/>
    <x v="9"/>
    <x v="37"/>
  </r>
  <r>
    <n v="1046"/>
    <x v="45"/>
    <x v="1"/>
    <x v="1"/>
    <x v="14"/>
    <x v="9"/>
    <x v="13"/>
    <x v="38"/>
  </r>
  <r>
    <n v="1047"/>
    <x v="46"/>
    <x v="1"/>
    <x v="0"/>
    <x v="0"/>
    <x v="7"/>
    <x v="0"/>
    <x v="31"/>
  </r>
  <r>
    <n v="1048"/>
    <x v="47"/>
    <x v="3"/>
    <x v="1"/>
    <x v="14"/>
    <x v="8"/>
    <x v="13"/>
    <x v="39"/>
  </r>
  <r>
    <n v="1049"/>
    <x v="48"/>
    <x v="1"/>
    <x v="0"/>
    <x v="0"/>
    <x v="4"/>
    <x v="0"/>
    <x v="32"/>
  </r>
  <r>
    <n v="1050"/>
    <x v="49"/>
    <x v="2"/>
    <x v="1"/>
    <x v="2"/>
    <x v="13"/>
    <x v="2"/>
    <x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4:E10" firstHeaderRow="1" firstDataRow="2" firstDataCol="1" rowPageCount="1" colPageCount="1"/>
  <pivotFields count="8">
    <pivotField showAll="0"/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axis="axisCol" showAll="0">
      <items count="4">
        <item x="1"/>
        <item x="0"/>
        <item x="2"/>
        <item t="default"/>
      </items>
    </pivotField>
    <pivotField axis="axisPage" showAll="0">
      <items count="16">
        <item x="12"/>
        <item x="4"/>
        <item x="1"/>
        <item x="7"/>
        <item x="2"/>
        <item x="3"/>
        <item x="10"/>
        <item x="11"/>
        <item x="5"/>
        <item x="6"/>
        <item x="0"/>
        <item x="14"/>
        <item x="8"/>
        <item x="9"/>
        <item x="13"/>
        <item t="default"/>
      </items>
    </pivotField>
    <pivotField dataField="1" showAll="0"/>
    <pivotField showAll="0"/>
    <pivotField showAll="0">
      <items count="42">
        <item x="3"/>
        <item x="25"/>
        <item x="38"/>
        <item x="13"/>
        <item x="24"/>
        <item x="28"/>
        <item x="19"/>
        <item x="10"/>
        <item x="33"/>
        <item x="14"/>
        <item x="40"/>
        <item x="29"/>
        <item x="16"/>
        <item x="39"/>
        <item x="2"/>
        <item x="30"/>
        <item x="7"/>
        <item x="35"/>
        <item x="36"/>
        <item x="8"/>
        <item x="12"/>
        <item x="37"/>
        <item x="4"/>
        <item x="34"/>
        <item x="27"/>
        <item x="18"/>
        <item x="11"/>
        <item x="9"/>
        <item x="1"/>
        <item x="6"/>
        <item x="31"/>
        <item x="5"/>
        <item x="0"/>
        <item x="32"/>
        <item x="26"/>
        <item x="15"/>
        <item x="20"/>
        <item x="17"/>
        <item x="22"/>
        <item x="23"/>
        <item x="2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4" hier="-1"/>
  </pageFields>
  <dataFields count="1">
    <dataField name="Count of Units" fld="5" subtotal="count" showDataAs="percentOfCol" baseField="2" baseItem="0" numFmtId="10"/>
  </dataFields>
  <formats count="5">
    <format dxfId="1">
      <pivotArea collapsedLevelsAreSubtotals="1" fieldPosition="0">
        <references count="2">
          <reference field="2" count="1">
            <x v="2"/>
          </reference>
          <reference field="3" count="1" selected="0">
            <x v="0"/>
          </reference>
        </references>
      </pivotArea>
    </format>
    <format dxfId="2">
      <pivotArea collapsedLevelsAreSubtotals="1" fieldPosition="0">
        <references count="2">
          <reference field="2" count="1">
            <x v="2"/>
          </reference>
          <reference field="3" count="1" selected="0">
            <x v="0"/>
          </reference>
        </references>
      </pivotArea>
    </format>
    <format dxfId="3">
      <pivotArea collapsedLevelsAreSubtotals="1" fieldPosition="0">
        <references count="2">
          <reference field="2" count="1">
            <x v="0"/>
          </reference>
          <reference field="3" count="1" selected="0">
            <x v="2"/>
          </reference>
        </references>
      </pivotArea>
    </format>
    <format dxfId="4">
      <pivotArea collapsedLevelsAreSubtotals="1" fieldPosition="0">
        <references count="2">
          <reference field="2" count="1">
            <x v="3"/>
          </reference>
          <reference field="3" count="1" selected="0">
            <x v="1"/>
          </reference>
        </references>
      </pivotArea>
    </format>
    <format dxfId="5">
      <pivotArea collapsedLevelsAreSubtotals="1" fieldPosition="0">
        <references count="2">
          <reference field="2" count="1">
            <x v="1"/>
          </reference>
          <reference field="3" count="1" selected="0">
            <x v="0"/>
          </reference>
        </references>
      </pivotArea>
    </format>
  </formats>
  <conditionalFormats count="2">
    <conditionalFormat type="all" priority="1">
      <pivotAreas count="1">
        <pivotArea type="all" outline="0" fieldPosition="0"/>
      </pivotAreas>
    </conditionalFormat>
    <conditionalFormat type="all" priority="2">
      <pivotAreas count="1">
        <pivotArea type="all" outline="0" fieldPosition="0"/>
      </pivotAreas>
    </conditionalFormat>
  </conditional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A3:B7" firstHeaderRow="1" firstDataRow="1" firstDataCol="1"/>
  <pivotFields count="8">
    <pivotField showAll="0"/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>
      <items count="16">
        <item x="12"/>
        <item x="4"/>
        <item x="1"/>
        <item x="7"/>
        <item x="2"/>
        <item x="3"/>
        <item x="10"/>
        <item x="11"/>
        <item x="5"/>
        <item x="6"/>
        <item x="0"/>
        <item x="14"/>
        <item x="8"/>
        <item x="9"/>
        <item x="13"/>
        <item t="default"/>
      </items>
    </pivotField>
    <pivotField showAll="0">
      <items count="15">
        <item x="11"/>
        <item x="2"/>
        <item x="1"/>
        <item x="9"/>
        <item x="6"/>
        <item x="13"/>
        <item x="7"/>
        <item x="0"/>
        <item x="5"/>
        <item x="4"/>
        <item x="12"/>
        <item x="3"/>
        <item x="10"/>
        <item x="8"/>
        <item t="default"/>
      </items>
    </pivotField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7" showDataAs="percentOfCol" baseField="3" baseItem="0" numFmtId="1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54" firstHeaderRow="1" firstDataRow="1" firstDataCol="1"/>
  <pivotFields count="8">
    <pivotField showAll="0"/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>
      <items count="16">
        <item x="12"/>
        <item x="4"/>
        <item x="1"/>
        <item x="7"/>
        <item x="2"/>
        <item x="3"/>
        <item x="10"/>
        <item x="11"/>
        <item x="5"/>
        <item x="6"/>
        <item x="0"/>
        <item x="14"/>
        <item x="8"/>
        <item x="9"/>
        <item x="13"/>
        <item t="default"/>
      </items>
    </pivotField>
    <pivotField showAll="0"/>
    <pivotField showAll="0"/>
    <pivotField dataField="1"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Revenue" fld="7" baseField="0" baseItem="0"/>
  </dataFields>
  <formats count="1">
    <format dxfId="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1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8" firstHeaderRow="1" firstDataRow="1" firstDataCol="1"/>
  <pivotFields count="8">
    <pivotField showAll="0"/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7" showDataAs="percentOfCol" baseField="2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>
      <selection activeCell="M5" sqref="M5"/>
    </sheetView>
  </sheetViews>
  <sheetFormatPr defaultColWidth="8.81640625" defaultRowHeight="14.5" x14ac:dyDescent="0.35"/>
  <cols>
    <col min="1" max="1" width="8.54296875" bestFit="1" customWidth="1"/>
    <col min="2" max="2" width="10.08984375" bestFit="1" customWidth="1"/>
    <col min="3" max="3" width="11.1796875" customWidth="1"/>
    <col min="4" max="4" width="23.7265625" bestFit="1" customWidth="1"/>
    <col min="5" max="5" width="15.26953125" bestFit="1" customWidth="1"/>
    <col min="7" max="7" width="9.453125" bestFit="1" customWidth="1"/>
    <col min="11" max="11" width="11.1796875" bestFit="1" customWidth="1"/>
    <col min="12" max="12" width="16" bestFit="1" customWidth="1"/>
  </cols>
  <sheetData>
    <row r="1" spans="1:12" x14ac:dyDescent="0.35">
      <c r="A1" s="1" t="s">
        <v>0</v>
      </c>
      <c r="B1" s="1" t="s">
        <v>1</v>
      </c>
      <c r="C1" s="4" t="s">
        <v>2</v>
      </c>
      <c r="D1" s="1" t="str">
        <f t="shared" ref="D1:D32" si="0">UPPER(L1)</f>
        <v>PRODUCT_CATEGORY</v>
      </c>
      <c r="E1" s="1" t="s">
        <v>4</v>
      </c>
      <c r="F1" s="1" t="s">
        <v>5</v>
      </c>
      <c r="G1" s="1" t="s">
        <v>6</v>
      </c>
      <c r="H1" s="1" t="s">
        <v>7</v>
      </c>
      <c r="K1" s="2" t="s">
        <v>2</v>
      </c>
      <c r="L1" s="1" t="s">
        <v>3</v>
      </c>
    </row>
    <row r="2" spans="1:12" x14ac:dyDescent="0.35">
      <c r="A2">
        <v>1001</v>
      </c>
      <c r="B2" s="10">
        <v>46027</v>
      </c>
      <c r="C2" s="5" t="str">
        <f t="shared" ref="C2:C33" si="1">UPPER(K2:K51)</f>
        <v>WEST</v>
      </c>
      <c r="D2" s="6" t="str">
        <f t="shared" si="0"/>
        <v>ELECTRONICS</v>
      </c>
      <c r="E2" t="s">
        <v>10</v>
      </c>
      <c r="F2">
        <v>8</v>
      </c>
      <c r="G2">
        <v>35000</v>
      </c>
      <c r="H2">
        <v>280000</v>
      </c>
      <c r="K2" s="3" t="s">
        <v>79</v>
      </c>
      <c r="L2" t="s">
        <v>9</v>
      </c>
    </row>
    <row r="3" spans="1:12" x14ac:dyDescent="0.35">
      <c r="A3">
        <v>1002</v>
      </c>
      <c r="B3" s="10">
        <v>46028</v>
      </c>
      <c r="C3" s="5" t="str">
        <f t="shared" si="1"/>
        <v>NORTH</v>
      </c>
      <c r="D3" s="6" t="str">
        <f t="shared" si="0"/>
        <v>ELECTRONICS</v>
      </c>
      <c r="E3" t="s">
        <v>13</v>
      </c>
      <c r="F3">
        <v>3</v>
      </c>
      <c r="G3">
        <v>65000</v>
      </c>
      <c r="H3">
        <v>195000</v>
      </c>
      <c r="K3" s="3" t="s">
        <v>80</v>
      </c>
      <c r="L3" t="s">
        <v>12</v>
      </c>
    </row>
    <row r="4" spans="1:12" x14ac:dyDescent="0.35">
      <c r="A4">
        <v>1003</v>
      </c>
      <c r="B4" s="10">
        <v>46029</v>
      </c>
      <c r="C4" s="5" t="str">
        <f t="shared" si="1"/>
        <v>WEST</v>
      </c>
      <c r="D4" s="6" t="str">
        <f t="shared" si="0"/>
        <v>ACCESSORIES</v>
      </c>
      <c r="E4" t="s">
        <v>16</v>
      </c>
      <c r="F4">
        <v>8</v>
      </c>
      <c r="G4">
        <v>4500</v>
      </c>
      <c r="H4">
        <v>36000</v>
      </c>
      <c r="K4" s="3" t="s">
        <v>81</v>
      </c>
      <c r="L4" t="s">
        <v>15</v>
      </c>
    </row>
    <row r="5" spans="1:12" x14ac:dyDescent="0.35">
      <c r="A5">
        <v>1004</v>
      </c>
      <c r="B5" s="10">
        <v>46030</v>
      </c>
      <c r="C5" s="5" t="str">
        <f t="shared" si="1"/>
        <v>NORTH</v>
      </c>
      <c r="D5" s="6" t="str">
        <f t="shared" si="0"/>
        <v>ACCESSORIES</v>
      </c>
      <c r="E5" t="s">
        <v>18</v>
      </c>
      <c r="F5">
        <v>2</v>
      </c>
      <c r="G5">
        <v>2000</v>
      </c>
      <c r="H5">
        <v>4000</v>
      </c>
      <c r="K5" s="3" t="s">
        <v>80</v>
      </c>
      <c r="L5" t="s">
        <v>15</v>
      </c>
    </row>
    <row r="6" spans="1:12" x14ac:dyDescent="0.35">
      <c r="A6">
        <v>1005</v>
      </c>
      <c r="B6" s="10">
        <v>46031</v>
      </c>
      <c r="C6" s="5" t="str">
        <f t="shared" si="1"/>
        <v>EAST</v>
      </c>
      <c r="D6" s="6" t="str">
        <f t="shared" si="0"/>
        <v>FURNITURE</v>
      </c>
      <c r="E6" t="s">
        <v>21</v>
      </c>
      <c r="F6">
        <v>12</v>
      </c>
      <c r="G6">
        <v>8000</v>
      </c>
      <c r="H6">
        <v>96000</v>
      </c>
      <c r="K6" s="3" t="s">
        <v>82</v>
      </c>
      <c r="L6" t="s">
        <v>20</v>
      </c>
    </row>
    <row r="7" spans="1:12" x14ac:dyDescent="0.35">
      <c r="A7">
        <v>1006</v>
      </c>
      <c r="B7" s="10">
        <v>46032</v>
      </c>
      <c r="C7" s="5" t="str">
        <f t="shared" si="1"/>
        <v>NORTH</v>
      </c>
      <c r="D7" s="6" t="str">
        <f t="shared" si="0"/>
        <v>ELECTRONICS</v>
      </c>
      <c r="E7" t="s">
        <v>23</v>
      </c>
      <c r="F7">
        <v>10</v>
      </c>
      <c r="G7">
        <v>25000</v>
      </c>
      <c r="H7">
        <v>250000</v>
      </c>
      <c r="K7" s="3" t="s">
        <v>80</v>
      </c>
      <c r="L7" t="s">
        <v>12</v>
      </c>
    </row>
    <row r="8" spans="1:12" x14ac:dyDescent="0.35">
      <c r="A8">
        <v>1007</v>
      </c>
      <c r="B8" s="10">
        <v>46033</v>
      </c>
      <c r="C8" s="5" t="str">
        <f t="shared" si="1"/>
        <v>SOUTH</v>
      </c>
      <c r="D8" s="6" t="str">
        <f t="shared" si="0"/>
        <v>ELECTRONICS</v>
      </c>
      <c r="E8" t="s">
        <v>23</v>
      </c>
      <c r="F8">
        <v>9</v>
      </c>
      <c r="G8">
        <v>25000</v>
      </c>
      <c r="H8">
        <v>225000</v>
      </c>
      <c r="K8" s="3" t="s">
        <v>83</v>
      </c>
      <c r="L8" t="s">
        <v>12</v>
      </c>
    </row>
    <row r="9" spans="1:12" x14ac:dyDescent="0.35">
      <c r="A9">
        <v>1008</v>
      </c>
      <c r="B9" s="10">
        <v>46034</v>
      </c>
      <c r="C9" s="5" t="str">
        <f t="shared" si="1"/>
        <v>NORTH</v>
      </c>
      <c r="D9" s="6" t="str">
        <f t="shared" si="0"/>
        <v>ACCESSORIES</v>
      </c>
      <c r="E9" t="s">
        <v>16</v>
      </c>
      <c r="F9">
        <v>10</v>
      </c>
      <c r="G9">
        <v>4500</v>
      </c>
      <c r="H9">
        <v>45000</v>
      </c>
      <c r="K9" s="3" t="s">
        <v>84</v>
      </c>
      <c r="L9" t="s">
        <v>15</v>
      </c>
    </row>
    <row r="10" spans="1:12" x14ac:dyDescent="0.35">
      <c r="A10">
        <v>1009</v>
      </c>
      <c r="B10" s="10">
        <v>46035</v>
      </c>
      <c r="C10" s="5" t="str">
        <f t="shared" si="1"/>
        <v>EAST</v>
      </c>
      <c r="D10" s="6" t="str">
        <f t="shared" si="0"/>
        <v>ACCESSORIES</v>
      </c>
      <c r="E10" t="s">
        <v>16</v>
      </c>
      <c r="F10">
        <v>12</v>
      </c>
      <c r="G10">
        <v>4500</v>
      </c>
      <c r="H10">
        <v>54000</v>
      </c>
      <c r="K10" s="3" t="s">
        <v>82</v>
      </c>
      <c r="L10" t="s">
        <v>15</v>
      </c>
    </row>
    <row r="11" spans="1:12" x14ac:dyDescent="0.35">
      <c r="A11">
        <v>1010</v>
      </c>
      <c r="B11" s="10">
        <v>46036</v>
      </c>
      <c r="C11" s="5" t="str">
        <f t="shared" si="1"/>
        <v>WEST</v>
      </c>
      <c r="D11" s="6" t="str">
        <f t="shared" si="0"/>
        <v>ELECTRONICS</v>
      </c>
      <c r="E11" t="s">
        <v>10</v>
      </c>
      <c r="F11">
        <v>5</v>
      </c>
      <c r="G11">
        <v>35000</v>
      </c>
      <c r="H11">
        <v>175000</v>
      </c>
      <c r="K11" s="3" t="s">
        <v>81</v>
      </c>
      <c r="L11" t="s">
        <v>12</v>
      </c>
    </row>
    <row r="12" spans="1:12" x14ac:dyDescent="0.35">
      <c r="A12">
        <v>1011</v>
      </c>
      <c r="B12" s="10">
        <v>46037</v>
      </c>
      <c r="C12" s="5" t="str">
        <f t="shared" si="1"/>
        <v>WEST</v>
      </c>
      <c r="D12" s="6" t="str">
        <f t="shared" si="0"/>
        <v>ACCESSORIES</v>
      </c>
      <c r="E12" t="s">
        <v>18</v>
      </c>
      <c r="F12">
        <v>9</v>
      </c>
      <c r="G12">
        <v>2000</v>
      </c>
      <c r="H12">
        <v>18000</v>
      </c>
      <c r="K12" s="3" t="s">
        <v>81</v>
      </c>
      <c r="L12" t="s">
        <v>15</v>
      </c>
    </row>
    <row r="13" spans="1:12" x14ac:dyDescent="0.35">
      <c r="A13">
        <v>1012</v>
      </c>
      <c r="B13" s="10">
        <v>46038</v>
      </c>
      <c r="C13" s="5" t="str">
        <f t="shared" si="1"/>
        <v>WEST</v>
      </c>
      <c r="D13" s="6" t="str">
        <f t="shared" si="0"/>
        <v>FURNITURE</v>
      </c>
      <c r="E13" t="s">
        <v>31</v>
      </c>
      <c r="F13">
        <v>9</v>
      </c>
      <c r="G13">
        <v>18000</v>
      </c>
      <c r="H13">
        <v>162000</v>
      </c>
      <c r="K13" s="3" t="s">
        <v>81</v>
      </c>
      <c r="L13" t="s">
        <v>30</v>
      </c>
    </row>
    <row r="14" spans="1:12" x14ac:dyDescent="0.35">
      <c r="A14">
        <v>1013</v>
      </c>
      <c r="B14" s="10">
        <v>46039</v>
      </c>
      <c r="C14" s="5" t="str">
        <f t="shared" si="1"/>
        <v>EAST</v>
      </c>
      <c r="D14" s="6" t="str">
        <f t="shared" si="0"/>
        <v>FURNITURE</v>
      </c>
      <c r="E14" t="s">
        <v>21</v>
      </c>
      <c r="F14">
        <v>10</v>
      </c>
      <c r="G14">
        <v>8000</v>
      </c>
      <c r="H14">
        <v>80000</v>
      </c>
      <c r="K14" s="3" t="s">
        <v>82</v>
      </c>
      <c r="L14" t="s">
        <v>20</v>
      </c>
    </row>
    <row r="15" spans="1:12" x14ac:dyDescent="0.35">
      <c r="A15">
        <v>1014</v>
      </c>
      <c r="B15" s="10">
        <v>46040</v>
      </c>
      <c r="C15" s="5" t="str">
        <f t="shared" si="1"/>
        <v>NORTH</v>
      </c>
      <c r="D15" s="6" t="str">
        <f t="shared" si="0"/>
        <v>FURNITURE</v>
      </c>
      <c r="E15" t="s">
        <v>34</v>
      </c>
      <c r="F15">
        <v>2</v>
      </c>
      <c r="G15">
        <v>6000</v>
      </c>
      <c r="H15">
        <v>12000</v>
      </c>
      <c r="K15" s="3" t="s">
        <v>80</v>
      </c>
      <c r="L15" t="s">
        <v>20</v>
      </c>
    </row>
    <row r="16" spans="1:12" x14ac:dyDescent="0.35">
      <c r="A16">
        <v>1015</v>
      </c>
      <c r="B16" s="10">
        <v>46041</v>
      </c>
      <c r="C16" s="5" t="str">
        <f t="shared" si="1"/>
        <v>EAST</v>
      </c>
      <c r="D16" s="6" t="str">
        <f t="shared" si="0"/>
        <v>ACCESSORIES</v>
      </c>
      <c r="E16" t="s">
        <v>36</v>
      </c>
      <c r="F16">
        <v>7</v>
      </c>
      <c r="G16">
        <v>3500</v>
      </c>
      <c r="H16">
        <v>24500</v>
      </c>
      <c r="K16" s="3" t="s">
        <v>85</v>
      </c>
      <c r="L16" t="s">
        <v>15</v>
      </c>
    </row>
    <row r="17" spans="1:12" x14ac:dyDescent="0.35">
      <c r="A17">
        <v>1016</v>
      </c>
      <c r="B17" s="10">
        <v>46042</v>
      </c>
      <c r="C17" s="5" t="str">
        <f t="shared" si="1"/>
        <v>EAST</v>
      </c>
      <c r="D17" s="6" t="str">
        <f t="shared" si="0"/>
        <v>ELECTRONICS</v>
      </c>
      <c r="E17" t="s">
        <v>10</v>
      </c>
      <c r="F17">
        <v>14</v>
      </c>
      <c r="G17">
        <v>35000</v>
      </c>
      <c r="H17">
        <v>490000</v>
      </c>
      <c r="K17" s="3" t="s">
        <v>82</v>
      </c>
      <c r="L17" t="s">
        <v>12</v>
      </c>
    </row>
    <row r="18" spans="1:12" x14ac:dyDescent="0.35">
      <c r="A18">
        <v>1017</v>
      </c>
      <c r="B18" s="10">
        <v>46043</v>
      </c>
      <c r="C18" s="5" t="str">
        <f t="shared" si="1"/>
        <v>NORTH</v>
      </c>
      <c r="D18" s="6" t="str">
        <f t="shared" si="0"/>
        <v>FURNITURE</v>
      </c>
      <c r="E18" t="s">
        <v>31</v>
      </c>
      <c r="F18">
        <v>2</v>
      </c>
      <c r="G18">
        <v>18000</v>
      </c>
      <c r="H18">
        <v>36000</v>
      </c>
      <c r="K18" s="3" t="s">
        <v>80</v>
      </c>
      <c r="L18" t="s">
        <v>20</v>
      </c>
    </row>
    <row r="19" spans="1:12" x14ac:dyDescent="0.35">
      <c r="A19">
        <v>1018</v>
      </c>
      <c r="B19" s="10">
        <v>46044</v>
      </c>
      <c r="C19" s="5" t="str">
        <f t="shared" si="1"/>
        <v>SOUTH</v>
      </c>
      <c r="D19" s="6" t="str">
        <f t="shared" si="0"/>
        <v>FURNITURE</v>
      </c>
      <c r="E19" t="s">
        <v>21</v>
      </c>
      <c r="F19">
        <v>4</v>
      </c>
      <c r="G19">
        <v>8000</v>
      </c>
      <c r="H19">
        <v>32000</v>
      </c>
      <c r="K19" s="3" t="s">
        <v>83</v>
      </c>
      <c r="L19" t="s">
        <v>20</v>
      </c>
    </row>
    <row r="20" spans="1:12" x14ac:dyDescent="0.35">
      <c r="A20">
        <v>1019</v>
      </c>
      <c r="B20" s="10">
        <v>46045</v>
      </c>
      <c r="C20" s="5" t="str">
        <f t="shared" si="1"/>
        <v>SOUTH</v>
      </c>
      <c r="D20" s="6" t="str">
        <f t="shared" si="0"/>
        <v>ELECTRONICS</v>
      </c>
      <c r="E20" t="s">
        <v>13</v>
      </c>
      <c r="F20">
        <v>10</v>
      </c>
      <c r="G20">
        <v>65000</v>
      </c>
      <c r="H20">
        <v>650000</v>
      </c>
      <c r="K20" s="3" t="s">
        <v>83</v>
      </c>
      <c r="L20" t="s">
        <v>12</v>
      </c>
    </row>
    <row r="21" spans="1:12" x14ac:dyDescent="0.35">
      <c r="A21">
        <v>1020</v>
      </c>
      <c r="B21" s="10">
        <v>46046</v>
      </c>
      <c r="C21" s="5" t="str">
        <f t="shared" si="1"/>
        <v>EAST</v>
      </c>
      <c r="D21" s="6" t="str">
        <f t="shared" si="0"/>
        <v>FURNITURE</v>
      </c>
      <c r="E21" t="s">
        <v>21</v>
      </c>
      <c r="F21">
        <v>14</v>
      </c>
      <c r="G21">
        <v>8000</v>
      </c>
      <c r="H21">
        <v>112000</v>
      </c>
      <c r="K21" s="3" t="s">
        <v>82</v>
      </c>
      <c r="L21" t="s">
        <v>20</v>
      </c>
    </row>
    <row r="22" spans="1:12" x14ac:dyDescent="0.35">
      <c r="A22">
        <v>1021</v>
      </c>
      <c r="B22" s="10">
        <v>46047</v>
      </c>
      <c r="C22" s="5" t="str">
        <f t="shared" si="1"/>
        <v>EAST</v>
      </c>
      <c r="D22" s="6" t="str">
        <f t="shared" si="0"/>
        <v>FURNITURE</v>
      </c>
      <c r="E22" t="s">
        <v>31</v>
      </c>
      <c r="F22">
        <v>9</v>
      </c>
      <c r="G22">
        <v>18000</v>
      </c>
      <c r="H22">
        <v>162000</v>
      </c>
      <c r="K22" s="3" t="s">
        <v>82</v>
      </c>
      <c r="L22" t="s">
        <v>20</v>
      </c>
    </row>
    <row r="23" spans="1:12" x14ac:dyDescent="0.35">
      <c r="A23">
        <v>1022</v>
      </c>
      <c r="B23" s="10">
        <v>46048</v>
      </c>
      <c r="C23" s="5" t="str">
        <f t="shared" si="1"/>
        <v>SOUTH</v>
      </c>
      <c r="D23" s="6" t="str">
        <f t="shared" si="0"/>
        <v>ELECTRONICS</v>
      </c>
      <c r="E23" t="s">
        <v>44</v>
      </c>
      <c r="F23">
        <v>2</v>
      </c>
      <c r="G23">
        <v>8000</v>
      </c>
      <c r="H23">
        <v>16000</v>
      </c>
      <c r="K23" s="3" t="s">
        <v>86</v>
      </c>
      <c r="L23" t="s">
        <v>12</v>
      </c>
    </row>
    <row r="24" spans="1:12" x14ac:dyDescent="0.35">
      <c r="A24">
        <v>1023</v>
      </c>
      <c r="B24" s="10">
        <v>46049</v>
      </c>
      <c r="C24" s="5" t="str">
        <f t="shared" si="1"/>
        <v>WEST</v>
      </c>
      <c r="D24" s="6" t="str">
        <f t="shared" si="0"/>
        <v>ELECTRONICS</v>
      </c>
      <c r="E24" t="s">
        <v>13</v>
      </c>
      <c r="F24">
        <v>9</v>
      </c>
      <c r="G24">
        <v>65000</v>
      </c>
      <c r="H24">
        <v>585000</v>
      </c>
      <c r="K24" s="3" t="s">
        <v>81</v>
      </c>
      <c r="L24" t="s">
        <v>9</v>
      </c>
    </row>
    <row r="25" spans="1:12" x14ac:dyDescent="0.35">
      <c r="A25">
        <v>1024</v>
      </c>
      <c r="B25" s="10">
        <v>46050</v>
      </c>
      <c r="C25" s="5" t="str">
        <f t="shared" si="1"/>
        <v>EAST</v>
      </c>
      <c r="D25" s="6" t="str">
        <f t="shared" si="0"/>
        <v>ELECTRONICS</v>
      </c>
      <c r="E25" t="s">
        <v>47</v>
      </c>
      <c r="F25">
        <v>13</v>
      </c>
      <c r="G25">
        <v>85000</v>
      </c>
      <c r="H25">
        <v>1105000</v>
      </c>
      <c r="K25" s="3" t="s">
        <v>82</v>
      </c>
      <c r="L25" t="s">
        <v>12</v>
      </c>
    </row>
    <row r="26" spans="1:12" x14ac:dyDescent="0.35">
      <c r="A26">
        <v>1025</v>
      </c>
      <c r="B26" s="10">
        <v>46051</v>
      </c>
      <c r="C26" s="5" t="str">
        <f t="shared" si="1"/>
        <v>WEST</v>
      </c>
      <c r="D26" s="6" t="str">
        <f t="shared" si="0"/>
        <v>ELECTRONICS</v>
      </c>
      <c r="E26" t="s">
        <v>47</v>
      </c>
      <c r="F26">
        <v>9</v>
      </c>
      <c r="G26">
        <v>85000</v>
      </c>
      <c r="H26">
        <v>765000</v>
      </c>
      <c r="K26" s="3" t="s">
        <v>81</v>
      </c>
      <c r="L26" t="s">
        <v>12</v>
      </c>
    </row>
    <row r="27" spans="1:12" x14ac:dyDescent="0.35">
      <c r="A27">
        <v>1026</v>
      </c>
      <c r="B27" s="10">
        <v>46052</v>
      </c>
      <c r="C27" s="5" t="str">
        <f t="shared" si="1"/>
        <v>WEST</v>
      </c>
      <c r="D27" s="6" t="str">
        <f t="shared" si="0"/>
        <v>ELECTRONICS</v>
      </c>
      <c r="E27" t="s">
        <v>47</v>
      </c>
      <c r="F27">
        <v>12</v>
      </c>
      <c r="G27">
        <v>85000</v>
      </c>
      <c r="H27">
        <v>1020000</v>
      </c>
      <c r="K27" s="3" t="s">
        <v>81</v>
      </c>
      <c r="L27" t="s">
        <v>12</v>
      </c>
    </row>
    <row r="28" spans="1:12" x14ac:dyDescent="0.35">
      <c r="A28">
        <v>1027</v>
      </c>
      <c r="B28" s="10">
        <v>46053</v>
      </c>
      <c r="C28" s="5" t="str">
        <f t="shared" si="1"/>
        <v>EAST</v>
      </c>
      <c r="D28" s="6" t="str">
        <f t="shared" si="0"/>
        <v>ACCESSORIES</v>
      </c>
      <c r="E28" t="s">
        <v>16</v>
      </c>
      <c r="F28">
        <v>3</v>
      </c>
      <c r="G28">
        <v>4500</v>
      </c>
      <c r="H28">
        <v>13500</v>
      </c>
      <c r="K28" s="3" t="s">
        <v>82</v>
      </c>
      <c r="L28" t="s">
        <v>15</v>
      </c>
    </row>
    <row r="29" spans="1:12" x14ac:dyDescent="0.35">
      <c r="A29">
        <v>1028</v>
      </c>
      <c r="B29" s="10">
        <v>46054</v>
      </c>
      <c r="C29" s="5" t="str">
        <f t="shared" si="1"/>
        <v>NORTH</v>
      </c>
      <c r="D29" s="6" t="str">
        <f t="shared" si="0"/>
        <v>ACCESSORIES</v>
      </c>
      <c r="E29" t="s">
        <v>16</v>
      </c>
      <c r="F29">
        <v>1</v>
      </c>
      <c r="G29">
        <v>4500</v>
      </c>
      <c r="H29">
        <v>4500</v>
      </c>
      <c r="K29" s="3" t="s">
        <v>80</v>
      </c>
      <c r="L29" t="s">
        <v>15</v>
      </c>
    </row>
    <row r="30" spans="1:12" x14ac:dyDescent="0.35">
      <c r="A30">
        <v>1029</v>
      </c>
      <c r="B30" s="10">
        <v>46055</v>
      </c>
      <c r="C30" s="5" t="str">
        <f t="shared" si="1"/>
        <v>WEST</v>
      </c>
      <c r="D30" s="6" t="str">
        <f t="shared" si="0"/>
        <v>ELECTRONICS</v>
      </c>
      <c r="E30" t="s">
        <v>13</v>
      </c>
      <c r="F30">
        <v>7</v>
      </c>
      <c r="G30">
        <v>65000</v>
      </c>
      <c r="H30">
        <v>455000</v>
      </c>
      <c r="K30" s="3" t="s">
        <v>79</v>
      </c>
      <c r="L30" t="s">
        <v>12</v>
      </c>
    </row>
    <row r="31" spans="1:12" x14ac:dyDescent="0.35">
      <c r="A31">
        <v>1030</v>
      </c>
      <c r="B31" s="10">
        <v>46056</v>
      </c>
      <c r="C31" s="5" t="str">
        <f t="shared" si="1"/>
        <v>SOUTH</v>
      </c>
      <c r="D31" s="6" t="str">
        <f t="shared" si="0"/>
        <v>ELECTRONICS</v>
      </c>
      <c r="E31" t="s">
        <v>23</v>
      </c>
      <c r="F31">
        <v>7</v>
      </c>
      <c r="G31">
        <v>25000</v>
      </c>
      <c r="H31">
        <v>175000</v>
      </c>
      <c r="K31" s="3" t="s">
        <v>83</v>
      </c>
      <c r="L31" t="s">
        <v>12</v>
      </c>
    </row>
    <row r="32" spans="1:12" x14ac:dyDescent="0.35">
      <c r="A32">
        <v>1031</v>
      </c>
      <c r="B32" s="10">
        <v>46057</v>
      </c>
      <c r="C32" s="5" t="str">
        <f t="shared" si="1"/>
        <v>NORTH</v>
      </c>
      <c r="D32" s="6" t="str">
        <f t="shared" si="0"/>
        <v>FURNITURE</v>
      </c>
      <c r="E32" t="s">
        <v>55</v>
      </c>
      <c r="F32">
        <v>7</v>
      </c>
      <c r="G32">
        <v>15000</v>
      </c>
      <c r="H32">
        <v>105000</v>
      </c>
      <c r="K32" s="3" t="s">
        <v>80</v>
      </c>
      <c r="L32" t="s">
        <v>20</v>
      </c>
    </row>
    <row r="33" spans="1:12" x14ac:dyDescent="0.35">
      <c r="A33">
        <v>1032</v>
      </c>
      <c r="B33" s="10">
        <v>46058</v>
      </c>
      <c r="C33" s="5" t="str">
        <f t="shared" si="1"/>
        <v>WEST</v>
      </c>
      <c r="D33" s="6" t="str">
        <f t="shared" ref="D33:D51" si="2">UPPER(L33)</f>
        <v>FURNITURE</v>
      </c>
      <c r="E33" t="s">
        <v>34</v>
      </c>
      <c r="F33">
        <v>3</v>
      </c>
      <c r="G33">
        <v>6000</v>
      </c>
      <c r="H33">
        <v>18000</v>
      </c>
      <c r="K33" s="3" t="s">
        <v>81</v>
      </c>
      <c r="L33" t="s">
        <v>20</v>
      </c>
    </row>
    <row r="34" spans="1:12" x14ac:dyDescent="0.35">
      <c r="A34">
        <v>1033</v>
      </c>
      <c r="B34" s="10">
        <v>46059</v>
      </c>
      <c r="C34" s="5" t="str">
        <f t="shared" ref="C34:C51" si="3">UPPER(K34:K83)</f>
        <v>EAST</v>
      </c>
      <c r="D34" s="6" t="str">
        <f t="shared" si="2"/>
        <v>FURNITURE</v>
      </c>
      <c r="E34" t="s">
        <v>58</v>
      </c>
      <c r="F34">
        <v>3</v>
      </c>
      <c r="G34">
        <v>5000</v>
      </c>
      <c r="H34">
        <v>15000</v>
      </c>
      <c r="K34" s="3" t="s">
        <v>82</v>
      </c>
      <c r="L34" t="s">
        <v>20</v>
      </c>
    </row>
    <row r="35" spans="1:12" x14ac:dyDescent="0.35">
      <c r="A35">
        <v>1034</v>
      </c>
      <c r="B35" s="10">
        <v>46060</v>
      </c>
      <c r="C35" s="5" t="str">
        <f t="shared" si="3"/>
        <v>NORTH</v>
      </c>
      <c r="D35" s="6" t="str">
        <f t="shared" si="2"/>
        <v>ACCESSORIES</v>
      </c>
      <c r="E35" t="s">
        <v>18</v>
      </c>
      <c r="F35">
        <v>14</v>
      </c>
      <c r="G35">
        <v>2000</v>
      </c>
      <c r="H35">
        <v>28000</v>
      </c>
      <c r="K35" s="3" t="s">
        <v>80</v>
      </c>
      <c r="L35" t="s">
        <v>60</v>
      </c>
    </row>
    <row r="36" spans="1:12" x14ac:dyDescent="0.35">
      <c r="A36">
        <v>1035</v>
      </c>
      <c r="B36" s="10">
        <v>46061</v>
      </c>
      <c r="C36" s="5" t="str">
        <f t="shared" si="3"/>
        <v>WEST</v>
      </c>
      <c r="D36" s="6" t="str">
        <f t="shared" si="2"/>
        <v>ELECTRONICS</v>
      </c>
      <c r="E36" t="s">
        <v>44</v>
      </c>
      <c r="F36">
        <v>10</v>
      </c>
      <c r="G36">
        <v>8000</v>
      </c>
      <c r="H36">
        <v>80000</v>
      </c>
      <c r="K36" s="3" t="s">
        <v>81</v>
      </c>
      <c r="L36" t="s">
        <v>12</v>
      </c>
    </row>
    <row r="37" spans="1:12" x14ac:dyDescent="0.35">
      <c r="A37">
        <v>1036</v>
      </c>
      <c r="B37" s="10">
        <v>46062</v>
      </c>
      <c r="C37" s="5" t="str">
        <f t="shared" si="3"/>
        <v>WEST</v>
      </c>
      <c r="D37" s="6" t="str">
        <f t="shared" si="2"/>
        <v>ACCESSORIES</v>
      </c>
      <c r="E37" t="s">
        <v>16</v>
      </c>
      <c r="F37">
        <v>9</v>
      </c>
      <c r="G37">
        <v>4500</v>
      </c>
      <c r="H37">
        <v>40500</v>
      </c>
      <c r="K37" s="3" t="s">
        <v>79</v>
      </c>
      <c r="L37" t="s">
        <v>15</v>
      </c>
    </row>
    <row r="38" spans="1:12" x14ac:dyDescent="0.35">
      <c r="A38">
        <v>1037</v>
      </c>
      <c r="B38" s="10">
        <v>46063</v>
      </c>
      <c r="C38" s="5" t="str">
        <f t="shared" si="3"/>
        <v>WEST</v>
      </c>
      <c r="D38" s="6" t="str">
        <f t="shared" si="2"/>
        <v>ACCESSORIES</v>
      </c>
      <c r="E38" t="s">
        <v>64</v>
      </c>
      <c r="F38">
        <v>10</v>
      </c>
      <c r="G38">
        <v>1500</v>
      </c>
      <c r="H38">
        <v>15000</v>
      </c>
      <c r="K38" s="3" t="s">
        <v>81</v>
      </c>
      <c r="L38" t="s">
        <v>15</v>
      </c>
    </row>
    <row r="39" spans="1:12" x14ac:dyDescent="0.35">
      <c r="A39">
        <v>1038</v>
      </c>
      <c r="B39" s="10">
        <v>46064</v>
      </c>
      <c r="C39" s="5" t="str">
        <f t="shared" si="3"/>
        <v>EAST</v>
      </c>
      <c r="D39" s="6" t="str">
        <f t="shared" si="2"/>
        <v>ELECTRONICS</v>
      </c>
      <c r="E39" t="s">
        <v>10</v>
      </c>
      <c r="F39">
        <v>7</v>
      </c>
      <c r="G39">
        <v>35000</v>
      </c>
      <c r="H39">
        <v>245000</v>
      </c>
      <c r="K39" s="3" t="s">
        <v>82</v>
      </c>
      <c r="L39" t="s">
        <v>12</v>
      </c>
    </row>
    <row r="40" spans="1:12" x14ac:dyDescent="0.35">
      <c r="A40">
        <v>1039</v>
      </c>
      <c r="B40" s="10">
        <v>46065</v>
      </c>
      <c r="C40" s="5" t="str">
        <f t="shared" si="3"/>
        <v>NORTH</v>
      </c>
      <c r="D40" s="6" t="str">
        <f t="shared" si="2"/>
        <v>ELECTRONICS</v>
      </c>
      <c r="E40" t="s">
        <v>23</v>
      </c>
      <c r="F40">
        <v>14</v>
      </c>
      <c r="G40">
        <v>25000</v>
      </c>
      <c r="H40">
        <v>350000</v>
      </c>
      <c r="K40" s="3" t="s">
        <v>80</v>
      </c>
      <c r="L40" t="s">
        <v>12</v>
      </c>
    </row>
    <row r="41" spans="1:12" x14ac:dyDescent="0.35">
      <c r="A41">
        <v>1040</v>
      </c>
      <c r="B41" s="10">
        <v>46066</v>
      </c>
      <c r="C41" s="5" t="str">
        <f t="shared" si="3"/>
        <v>NORTH</v>
      </c>
      <c r="D41" s="6" t="str">
        <f t="shared" si="2"/>
        <v>ACCESSORIES</v>
      </c>
      <c r="E41" t="s">
        <v>18</v>
      </c>
      <c r="F41">
        <v>11</v>
      </c>
      <c r="G41">
        <v>2000</v>
      </c>
      <c r="H41">
        <v>22000</v>
      </c>
      <c r="K41" s="3" t="s">
        <v>80</v>
      </c>
      <c r="L41" t="s">
        <v>15</v>
      </c>
    </row>
    <row r="42" spans="1:12" x14ac:dyDescent="0.35">
      <c r="A42">
        <v>1041</v>
      </c>
      <c r="B42" s="10">
        <v>46067</v>
      </c>
      <c r="C42" s="5" t="str">
        <f t="shared" si="3"/>
        <v>NORTH</v>
      </c>
      <c r="D42" s="6" t="str">
        <f t="shared" si="2"/>
        <v>ELECTRONICS</v>
      </c>
      <c r="E42" t="s">
        <v>10</v>
      </c>
      <c r="F42">
        <v>3</v>
      </c>
      <c r="G42">
        <v>35000</v>
      </c>
      <c r="H42">
        <v>105000</v>
      </c>
      <c r="K42" s="3" t="s">
        <v>80</v>
      </c>
      <c r="L42" t="s">
        <v>12</v>
      </c>
    </row>
    <row r="43" spans="1:12" x14ac:dyDescent="0.35">
      <c r="A43">
        <v>1042</v>
      </c>
      <c r="B43" s="10">
        <v>46068</v>
      </c>
      <c r="C43" s="5" t="str">
        <f t="shared" si="3"/>
        <v>SOUTH</v>
      </c>
      <c r="D43" s="6" t="str">
        <f t="shared" si="2"/>
        <v>FURNITURE</v>
      </c>
      <c r="E43" t="s">
        <v>21</v>
      </c>
      <c r="F43">
        <v>13</v>
      </c>
      <c r="G43">
        <v>8000</v>
      </c>
      <c r="H43">
        <v>104000</v>
      </c>
      <c r="K43" s="3" t="s">
        <v>83</v>
      </c>
      <c r="L43" t="s">
        <v>20</v>
      </c>
    </row>
    <row r="44" spans="1:12" x14ac:dyDescent="0.35">
      <c r="A44">
        <v>1043</v>
      </c>
      <c r="B44" s="10">
        <v>46069</v>
      </c>
      <c r="C44" s="5" t="str">
        <f t="shared" si="3"/>
        <v>SOUTH</v>
      </c>
      <c r="D44" s="6" t="str">
        <f t="shared" si="2"/>
        <v>ELECTRONICS</v>
      </c>
      <c r="E44" t="s">
        <v>44</v>
      </c>
      <c r="F44">
        <v>6</v>
      </c>
      <c r="G44">
        <v>8000</v>
      </c>
      <c r="H44">
        <v>48000</v>
      </c>
      <c r="K44" s="3" t="s">
        <v>86</v>
      </c>
      <c r="L44" t="s">
        <v>12</v>
      </c>
    </row>
    <row r="45" spans="1:12" x14ac:dyDescent="0.35">
      <c r="A45">
        <v>1044</v>
      </c>
      <c r="B45" s="10">
        <v>46070</v>
      </c>
      <c r="C45" s="5" t="str">
        <f t="shared" si="3"/>
        <v>EAST</v>
      </c>
      <c r="D45" s="6" t="str">
        <f t="shared" si="2"/>
        <v>FURNITURE</v>
      </c>
      <c r="E45" t="s">
        <v>58</v>
      </c>
      <c r="F45">
        <v>10</v>
      </c>
      <c r="G45">
        <v>5000</v>
      </c>
      <c r="H45">
        <v>50000</v>
      </c>
      <c r="K45" s="3" t="s">
        <v>82</v>
      </c>
      <c r="L45" t="s">
        <v>20</v>
      </c>
    </row>
    <row r="46" spans="1:12" x14ac:dyDescent="0.35">
      <c r="A46">
        <v>1045</v>
      </c>
      <c r="B46" s="10">
        <v>46071</v>
      </c>
      <c r="C46" s="5" t="str">
        <f t="shared" si="3"/>
        <v>WEST</v>
      </c>
      <c r="D46" s="6" t="str">
        <f t="shared" si="2"/>
        <v>ELECTRONICS</v>
      </c>
      <c r="E46" t="s">
        <v>47</v>
      </c>
      <c r="F46">
        <v>1</v>
      </c>
      <c r="G46">
        <v>85000</v>
      </c>
      <c r="H46">
        <v>85000</v>
      </c>
      <c r="K46" s="3" t="s">
        <v>81</v>
      </c>
      <c r="L46" t="s">
        <v>9</v>
      </c>
    </row>
    <row r="47" spans="1:12" x14ac:dyDescent="0.35">
      <c r="A47">
        <v>1046</v>
      </c>
      <c r="B47" s="10">
        <v>46072</v>
      </c>
      <c r="C47" s="5" t="str">
        <f t="shared" si="3"/>
        <v>NORTH</v>
      </c>
      <c r="D47" s="6" t="str">
        <f t="shared" si="2"/>
        <v>ACCESSORIES</v>
      </c>
      <c r="E47" t="s">
        <v>74</v>
      </c>
      <c r="F47">
        <v>4</v>
      </c>
      <c r="G47">
        <v>2500</v>
      </c>
      <c r="H47">
        <v>10000</v>
      </c>
      <c r="K47" s="3" t="s">
        <v>80</v>
      </c>
      <c r="L47" t="s">
        <v>15</v>
      </c>
    </row>
    <row r="48" spans="1:12" x14ac:dyDescent="0.35">
      <c r="A48">
        <v>1047</v>
      </c>
      <c r="B48" s="10">
        <v>46073</v>
      </c>
      <c r="C48" s="5" t="str">
        <f t="shared" si="3"/>
        <v>NORTH</v>
      </c>
      <c r="D48" s="6" t="str">
        <f t="shared" si="2"/>
        <v>ELECTRONICS</v>
      </c>
      <c r="E48" t="s">
        <v>10</v>
      </c>
      <c r="F48">
        <v>7</v>
      </c>
      <c r="G48">
        <v>35000</v>
      </c>
      <c r="H48">
        <v>245000</v>
      </c>
      <c r="K48" s="3" t="s">
        <v>80</v>
      </c>
      <c r="L48" t="s">
        <v>12</v>
      </c>
    </row>
    <row r="49" spans="1:12" x14ac:dyDescent="0.35">
      <c r="A49">
        <v>1048</v>
      </c>
      <c r="B49" s="10">
        <v>46074</v>
      </c>
      <c r="C49" s="5" t="str">
        <f t="shared" si="3"/>
        <v>SOUTH</v>
      </c>
      <c r="D49" s="6" t="str">
        <f t="shared" si="2"/>
        <v>ACCESSORIES</v>
      </c>
      <c r="E49" t="s">
        <v>74</v>
      </c>
      <c r="F49">
        <v>14</v>
      </c>
      <c r="G49">
        <v>2500</v>
      </c>
      <c r="H49">
        <v>35000</v>
      </c>
      <c r="K49" s="3" t="s">
        <v>83</v>
      </c>
      <c r="L49" t="s">
        <v>15</v>
      </c>
    </row>
    <row r="50" spans="1:12" x14ac:dyDescent="0.35">
      <c r="A50">
        <v>1049</v>
      </c>
      <c r="B50" s="10">
        <v>46075</v>
      </c>
      <c r="C50" s="5" t="str">
        <f t="shared" si="3"/>
        <v>NORTH</v>
      </c>
      <c r="D50" s="6" t="str">
        <f t="shared" si="2"/>
        <v>ELECTRONICS</v>
      </c>
      <c r="E50" t="s">
        <v>10</v>
      </c>
      <c r="F50">
        <v>10</v>
      </c>
      <c r="G50">
        <v>35000</v>
      </c>
      <c r="H50">
        <v>350000</v>
      </c>
      <c r="K50" s="3" t="s">
        <v>80</v>
      </c>
      <c r="L50" t="s">
        <v>12</v>
      </c>
    </row>
    <row r="51" spans="1:12" x14ac:dyDescent="0.35">
      <c r="A51">
        <v>1050</v>
      </c>
      <c r="B51" s="10">
        <v>46076</v>
      </c>
      <c r="C51" s="5" t="str">
        <f t="shared" si="3"/>
        <v>EAST</v>
      </c>
      <c r="D51" s="6" t="str">
        <f t="shared" si="2"/>
        <v>ACCESSORIES</v>
      </c>
      <c r="E51" t="s">
        <v>16</v>
      </c>
      <c r="F51">
        <v>6</v>
      </c>
      <c r="G51">
        <v>4500</v>
      </c>
      <c r="H51">
        <v>27000</v>
      </c>
      <c r="K51" s="3" t="s">
        <v>85</v>
      </c>
      <c r="L51" t="s">
        <v>15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7"/>
  <sheetViews>
    <sheetView workbookViewId="0">
      <selection activeCell="A8" sqref="A8"/>
    </sheetView>
  </sheetViews>
  <sheetFormatPr defaultRowHeight="14.5" x14ac:dyDescent="0.35"/>
  <cols>
    <col min="1" max="1" width="19.36328125" bestFit="1" customWidth="1"/>
  </cols>
  <sheetData>
    <row r="2" spans="1:1" x14ac:dyDescent="0.35">
      <c r="A2" t="s">
        <v>99</v>
      </c>
    </row>
    <row r="3" spans="1:1" x14ac:dyDescent="0.35">
      <c r="A3" s="13" t="s">
        <v>100</v>
      </c>
    </row>
    <row r="4" spans="1:1" x14ac:dyDescent="0.35">
      <c r="A4" s="13" t="s">
        <v>101</v>
      </c>
    </row>
    <row r="5" spans="1:1" x14ac:dyDescent="0.35">
      <c r="A5" s="13" t="s">
        <v>102</v>
      </c>
    </row>
    <row r="6" spans="1:1" x14ac:dyDescent="0.35">
      <c r="A6" s="13" t="s">
        <v>103</v>
      </c>
    </row>
    <row r="7" spans="1:1" x14ac:dyDescent="0.35">
      <c r="A7" s="13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3"/>
  <sheetViews>
    <sheetView workbookViewId="0">
      <selection activeCell="D16" sqref="D16"/>
    </sheetView>
  </sheetViews>
  <sheetFormatPr defaultRowHeight="14.5" x14ac:dyDescent="0.35"/>
  <cols>
    <col min="1" max="1" width="13.26953125" customWidth="1"/>
    <col min="2" max="2" width="15.26953125" bestFit="1" customWidth="1"/>
    <col min="3" max="3" width="12" bestFit="1" customWidth="1"/>
    <col min="4" max="4" width="10.26953125" bestFit="1" customWidth="1"/>
    <col min="5" max="5" width="10.7265625" bestFit="1" customWidth="1"/>
    <col min="6" max="6" width="13" customWidth="1"/>
    <col min="7" max="7" width="21.36328125" bestFit="1" customWidth="1"/>
    <col min="8" max="8" width="17.81640625" customWidth="1"/>
    <col min="9" max="9" width="26.1796875" customWidth="1"/>
    <col min="10" max="10" width="14.36328125" bestFit="1" customWidth="1"/>
    <col min="11" max="11" width="10.7265625" bestFit="1" customWidth="1"/>
    <col min="12" max="12" width="15.26953125" bestFit="1" customWidth="1"/>
    <col min="13" max="13" width="16.81640625" bestFit="1" customWidth="1"/>
    <col min="14" max="14" width="12.08984375" bestFit="1" customWidth="1"/>
    <col min="15" max="15" width="13.36328125" bestFit="1" customWidth="1"/>
    <col min="16" max="16" width="10.54296875" bestFit="1" customWidth="1"/>
    <col min="17" max="17" width="14.453125" bestFit="1" customWidth="1"/>
    <col min="18" max="18" width="12.6328125" bestFit="1" customWidth="1"/>
    <col min="19" max="19" width="15.08984375" bestFit="1" customWidth="1"/>
    <col min="20" max="20" width="10.7265625" bestFit="1" customWidth="1"/>
  </cols>
  <sheetData>
    <row r="2" spans="1:5" x14ac:dyDescent="0.35">
      <c r="A2" s="7" t="s">
        <v>4</v>
      </c>
      <c r="B2" t="s">
        <v>95</v>
      </c>
    </row>
    <row r="4" spans="1:5" x14ac:dyDescent="0.35">
      <c r="A4" s="7" t="s">
        <v>96</v>
      </c>
      <c r="B4" s="7" t="s">
        <v>93</v>
      </c>
    </row>
    <row r="5" spans="1:5" x14ac:dyDescent="0.35">
      <c r="A5" s="7" t="s">
        <v>87</v>
      </c>
      <c r="B5" t="s">
        <v>60</v>
      </c>
      <c r="C5" t="s">
        <v>9</v>
      </c>
      <c r="D5" t="s">
        <v>30</v>
      </c>
      <c r="E5" t="s">
        <v>92</v>
      </c>
    </row>
    <row r="6" spans="1:5" x14ac:dyDescent="0.35">
      <c r="A6" s="8" t="s">
        <v>88</v>
      </c>
      <c r="B6" s="9">
        <v>0.26666666666666666</v>
      </c>
      <c r="C6" s="9">
        <v>0.13636363636363635</v>
      </c>
      <c r="D6" s="11">
        <v>0.46153846153846156</v>
      </c>
      <c r="E6" s="9">
        <v>0.26</v>
      </c>
    </row>
    <row r="7" spans="1:5" x14ac:dyDescent="0.35">
      <c r="A7" s="8" t="s">
        <v>89</v>
      </c>
      <c r="B7" s="11">
        <v>0.4</v>
      </c>
      <c r="C7" s="9">
        <v>0.27272727272727271</v>
      </c>
      <c r="D7" s="9">
        <v>0.23076923076923078</v>
      </c>
      <c r="E7" s="9">
        <v>0.3</v>
      </c>
    </row>
    <row r="8" spans="1:5" x14ac:dyDescent="0.35">
      <c r="A8" s="8" t="s">
        <v>90</v>
      </c>
      <c r="B8" s="12">
        <v>6.6666666666666666E-2</v>
      </c>
      <c r="C8" s="9">
        <v>0.22727272727272727</v>
      </c>
      <c r="D8" s="9">
        <v>0.15384615384615385</v>
      </c>
      <c r="E8" s="9">
        <v>0.16</v>
      </c>
    </row>
    <row r="9" spans="1:5" x14ac:dyDescent="0.35">
      <c r="A9" s="8" t="s">
        <v>91</v>
      </c>
      <c r="B9" s="9">
        <v>0.26666666666666666</v>
      </c>
      <c r="C9" s="11">
        <v>0.36363636363636365</v>
      </c>
      <c r="D9" s="9">
        <v>0.15384615384615385</v>
      </c>
      <c r="E9" s="9">
        <v>0.28000000000000003</v>
      </c>
    </row>
    <row r="10" spans="1:5" x14ac:dyDescent="0.35">
      <c r="A10" s="8" t="s">
        <v>92</v>
      </c>
      <c r="B10" s="9">
        <v>1</v>
      </c>
      <c r="C10" s="9">
        <v>1</v>
      </c>
      <c r="D10" s="9">
        <v>1</v>
      </c>
      <c r="E10" s="9">
        <v>1</v>
      </c>
    </row>
    <row r="13" spans="1:5" x14ac:dyDescent="0.35">
      <c r="A13" s="8" t="s">
        <v>97</v>
      </c>
      <c r="B13" t="s">
        <v>98</v>
      </c>
    </row>
  </sheetData>
  <conditionalFormatting pivot="1" sqref="B6:E10">
    <cfRule type="top10" dxfId="7" priority="2" rank="1"/>
  </conditionalFormatting>
  <conditionalFormatting pivot="1" sqref="B6:E10">
    <cfRule type="top10" dxfId="6" priority="1" bottom="1" rank="1"/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B3" sqref="B3"/>
    </sheetView>
  </sheetViews>
  <sheetFormatPr defaultRowHeight="14.5" x14ac:dyDescent="0.35"/>
  <cols>
    <col min="1" max="1" width="12.36328125" customWidth="1"/>
    <col min="2" max="2" width="14.36328125" customWidth="1"/>
    <col min="3" max="5" width="7.81640625" customWidth="1"/>
    <col min="6" max="6" width="10.7265625" customWidth="1"/>
    <col min="7" max="7" width="10.08984375" bestFit="1" customWidth="1"/>
    <col min="8" max="8" width="12.453125" bestFit="1" customWidth="1"/>
    <col min="9" max="9" width="14.453125" bestFit="1" customWidth="1"/>
    <col min="10" max="10" width="14.36328125" bestFit="1" customWidth="1"/>
    <col min="11" max="11" width="12.6328125" bestFit="1" customWidth="1"/>
    <col min="12" max="12" width="10.7265625" bestFit="1" customWidth="1"/>
    <col min="13" max="13" width="9.7265625" bestFit="1" customWidth="1"/>
    <col min="14" max="14" width="11.1796875" customWidth="1"/>
    <col min="15" max="15" width="15.26953125" bestFit="1" customWidth="1"/>
    <col min="16" max="16" width="14.1796875" bestFit="1" customWidth="1"/>
    <col min="17" max="17" width="10.7265625" customWidth="1"/>
    <col min="18" max="18" width="15.36328125" bestFit="1" customWidth="1"/>
    <col min="19" max="19" width="15.81640625" bestFit="1" customWidth="1"/>
    <col min="20" max="23" width="1.81640625" customWidth="1"/>
    <col min="24" max="25" width="2.81640625" customWidth="1"/>
    <col min="26" max="26" width="18.81640625" bestFit="1" customWidth="1"/>
    <col min="27" max="27" width="11.90625" bestFit="1" customWidth="1"/>
    <col min="28" max="28" width="1.81640625" customWidth="1"/>
    <col min="29" max="30" width="2.81640625" customWidth="1"/>
    <col min="31" max="31" width="14.90625" bestFit="1" customWidth="1"/>
    <col min="32" max="32" width="14.26953125" bestFit="1" customWidth="1"/>
    <col min="33" max="33" width="1.81640625" customWidth="1"/>
    <col min="34" max="35" width="2.81640625" customWidth="1"/>
    <col min="36" max="36" width="17.36328125" bestFit="1" customWidth="1"/>
    <col min="37" max="37" width="16.26953125" bestFit="1" customWidth="1"/>
    <col min="38" max="38" width="19.26953125" bestFit="1" customWidth="1"/>
    <col min="39" max="39" width="16.1796875" bestFit="1" customWidth="1"/>
    <col min="40" max="40" width="1.81640625" customWidth="1"/>
    <col min="41" max="42" width="2.81640625" customWidth="1"/>
    <col min="43" max="43" width="19.1796875" bestFit="1" customWidth="1"/>
    <col min="44" max="44" width="14.453125" bestFit="1" customWidth="1"/>
    <col min="45" max="45" width="1.81640625" customWidth="1"/>
    <col min="46" max="46" width="17.54296875" bestFit="1" customWidth="1"/>
    <col min="47" max="47" width="12.54296875" bestFit="1" customWidth="1"/>
    <col min="48" max="50" width="1.81640625" customWidth="1"/>
    <col min="51" max="52" width="2.81640625" customWidth="1"/>
    <col min="53" max="53" width="15.54296875" bestFit="1" customWidth="1"/>
    <col min="54" max="54" width="11.54296875" bestFit="1" customWidth="1"/>
    <col min="55" max="55" width="2.81640625" customWidth="1"/>
    <col min="56" max="56" width="14.54296875" bestFit="1" customWidth="1"/>
    <col min="57" max="57" width="13" bestFit="1" customWidth="1"/>
    <col min="58" max="58" width="16" bestFit="1" customWidth="1"/>
    <col min="59" max="59" width="17.08984375" bestFit="1" customWidth="1"/>
    <col min="60" max="60" width="1.81640625" customWidth="1"/>
    <col min="61" max="61" width="2.81640625" customWidth="1"/>
    <col min="62" max="62" width="20.08984375" bestFit="1" customWidth="1"/>
    <col min="63" max="63" width="16" bestFit="1" customWidth="1"/>
    <col min="64" max="64" width="19" bestFit="1" customWidth="1"/>
    <col min="65" max="65" width="10.7265625" bestFit="1" customWidth="1"/>
  </cols>
  <sheetData>
    <row r="3" spans="1:2" x14ac:dyDescent="0.35">
      <c r="A3" s="7" t="s">
        <v>87</v>
      </c>
      <c r="B3" t="s">
        <v>94</v>
      </c>
    </row>
    <row r="4" spans="1:2" x14ac:dyDescent="0.35">
      <c r="A4" s="8" t="s">
        <v>60</v>
      </c>
      <c r="B4" s="9">
        <v>4.0734737979470553E-2</v>
      </c>
    </row>
    <row r="5" spans="1:2" x14ac:dyDescent="0.35">
      <c r="A5" s="8" t="s">
        <v>9</v>
      </c>
      <c r="B5" s="9">
        <v>0.85294435440302541</v>
      </c>
    </row>
    <row r="6" spans="1:2" x14ac:dyDescent="0.35">
      <c r="A6" s="8" t="s">
        <v>30</v>
      </c>
      <c r="B6" s="9">
        <v>0.10632090761750405</v>
      </c>
    </row>
    <row r="7" spans="1:2" x14ac:dyDescent="0.35">
      <c r="A7" s="8" t="s">
        <v>92</v>
      </c>
      <c r="B7" s="9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4"/>
  <sheetViews>
    <sheetView zoomScale="130" zoomScaleNormal="130" workbookViewId="0">
      <selection activeCell="B15" sqref="B15"/>
    </sheetView>
  </sheetViews>
  <sheetFormatPr defaultRowHeight="14.5" x14ac:dyDescent="0.35"/>
  <cols>
    <col min="1" max="1" width="12.36328125" customWidth="1"/>
    <col min="2" max="2" width="14.81640625" customWidth="1"/>
    <col min="3" max="3" width="19" customWidth="1"/>
    <col min="4" max="4" width="10.26953125" customWidth="1"/>
    <col min="5" max="5" width="10.7265625" customWidth="1"/>
    <col min="6" max="6" width="14.26953125" bestFit="1" customWidth="1"/>
    <col min="7" max="7" width="17.36328125" bestFit="1" customWidth="1"/>
    <col min="8" max="8" width="12.36328125" customWidth="1"/>
    <col min="9" max="9" width="15.36328125" customWidth="1"/>
    <col min="10" max="10" width="15.81640625" bestFit="1" customWidth="1"/>
    <col min="11" max="11" width="18.81640625" customWidth="1"/>
    <col min="12" max="12" width="11.90625" customWidth="1"/>
    <col min="13" max="13" width="14.90625" customWidth="1"/>
    <col min="14" max="14" width="14.26953125" bestFit="1" customWidth="1"/>
    <col min="15" max="15" width="17.36328125" customWidth="1"/>
    <col min="16" max="16" width="16.26953125" customWidth="1"/>
    <col min="17" max="17" width="19.26953125" bestFit="1" customWidth="1"/>
    <col min="18" max="18" width="16.1796875" bestFit="1" customWidth="1"/>
    <col min="19" max="19" width="19.1796875" bestFit="1" customWidth="1"/>
    <col min="20" max="20" width="14.453125" bestFit="1" customWidth="1"/>
    <col min="21" max="21" width="17.54296875" bestFit="1" customWidth="1"/>
    <col min="22" max="22" width="12.54296875" bestFit="1" customWidth="1"/>
    <col min="23" max="23" width="15.54296875" bestFit="1" customWidth="1"/>
    <col min="24" max="24" width="11.90625" bestFit="1" customWidth="1"/>
    <col min="25" max="25" width="14.54296875" bestFit="1" customWidth="1"/>
    <col min="26" max="26" width="13" bestFit="1" customWidth="1"/>
    <col min="27" max="27" width="16" bestFit="1" customWidth="1"/>
    <col min="28" max="28" width="17.08984375" bestFit="1" customWidth="1"/>
    <col min="29" max="29" width="20.08984375" bestFit="1" customWidth="1"/>
    <col min="30" max="30" width="16" bestFit="1" customWidth="1"/>
    <col min="31" max="31" width="19" bestFit="1" customWidth="1"/>
    <col min="32" max="32" width="10.7265625" bestFit="1" customWidth="1"/>
  </cols>
  <sheetData>
    <row r="3" spans="1:2" x14ac:dyDescent="0.35">
      <c r="A3" s="7" t="s">
        <v>87</v>
      </c>
      <c r="B3" t="s">
        <v>94</v>
      </c>
    </row>
    <row r="4" spans="1:2" x14ac:dyDescent="0.35">
      <c r="A4" s="14" t="s">
        <v>8</v>
      </c>
      <c r="B4" s="5">
        <v>280000</v>
      </c>
    </row>
    <row r="5" spans="1:2" x14ac:dyDescent="0.35">
      <c r="A5" s="14" t="s">
        <v>11</v>
      </c>
      <c r="B5" s="5">
        <v>195000</v>
      </c>
    </row>
    <row r="6" spans="1:2" x14ac:dyDescent="0.35">
      <c r="A6" s="14" t="s">
        <v>14</v>
      </c>
      <c r="B6" s="5">
        <v>36000</v>
      </c>
    </row>
    <row r="7" spans="1:2" x14ac:dyDescent="0.35">
      <c r="A7" s="14" t="s">
        <v>17</v>
      </c>
      <c r="B7" s="5">
        <v>4000</v>
      </c>
    </row>
    <row r="8" spans="1:2" x14ac:dyDescent="0.35">
      <c r="A8" s="14" t="s">
        <v>19</v>
      </c>
      <c r="B8" s="5">
        <v>96000</v>
      </c>
    </row>
    <row r="9" spans="1:2" x14ac:dyDescent="0.35">
      <c r="A9" s="14" t="s">
        <v>22</v>
      </c>
      <c r="B9" s="5">
        <v>250000</v>
      </c>
    </row>
    <row r="10" spans="1:2" x14ac:dyDescent="0.35">
      <c r="A10" s="14" t="s">
        <v>24</v>
      </c>
      <c r="B10" s="5">
        <v>225000</v>
      </c>
    </row>
    <row r="11" spans="1:2" x14ac:dyDescent="0.35">
      <c r="A11" s="14" t="s">
        <v>25</v>
      </c>
      <c r="B11" s="5">
        <v>45000</v>
      </c>
    </row>
    <row r="12" spans="1:2" x14ac:dyDescent="0.35">
      <c r="A12" s="14" t="s">
        <v>26</v>
      </c>
      <c r="B12" s="5">
        <v>54000</v>
      </c>
    </row>
    <row r="13" spans="1:2" x14ac:dyDescent="0.35">
      <c r="A13" s="14" t="s">
        <v>27</v>
      </c>
      <c r="B13" s="5">
        <v>175000</v>
      </c>
    </row>
    <row r="14" spans="1:2" x14ac:dyDescent="0.35">
      <c r="A14" s="14" t="s">
        <v>28</v>
      </c>
      <c r="B14" s="5">
        <v>18000</v>
      </c>
    </row>
    <row r="15" spans="1:2" x14ac:dyDescent="0.35">
      <c r="A15" s="14" t="s">
        <v>29</v>
      </c>
      <c r="B15" s="5">
        <v>162000</v>
      </c>
    </row>
    <row r="16" spans="1:2" x14ac:dyDescent="0.35">
      <c r="A16" s="14" t="s">
        <v>32</v>
      </c>
      <c r="B16" s="5">
        <v>80000</v>
      </c>
    </row>
    <row r="17" spans="1:2" x14ac:dyDescent="0.35">
      <c r="A17" s="14" t="s">
        <v>33</v>
      </c>
      <c r="B17" s="5">
        <v>12000</v>
      </c>
    </row>
    <row r="18" spans="1:2" x14ac:dyDescent="0.35">
      <c r="A18" s="14" t="s">
        <v>35</v>
      </c>
      <c r="B18" s="5">
        <v>24500</v>
      </c>
    </row>
    <row r="19" spans="1:2" x14ac:dyDescent="0.35">
      <c r="A19" s="14" t="s">
        <v>37</v>
      </c>
      <c r="B19" s="5">
        <v>490000</v>
      </c>
    </row>
    <row r="20" spans="1:2" x14ac:dyDescent="0.35">
      <c r="A20" s="14" t="s">
        <v>38</v>
      </c>
      <c r="B20" s="5">
        <v>36000</v>
      </c>
    </row>
    <row r="21" spans="1:2" x14ac:dyDescent="0.35">
      <c r="A21" s="14" t="s">
        <v>39</v>
      </c>
      <c r="B21" s="5">
        <v>32000</v>
      </c>
    </row>
    <row r="22" spans="1:2" x14ac:dyDescent="0.35">
      <c r="A22" s="14" t="s">
        <v>40</v>
      </c>
      <c r="B22" s="5">
        <v>650000</v>
      </c>
    </row>
    <row r="23" spans="1:2" x14ac:dyDescent="0.35">
      <c r="A23" s="14" t="s">
        <v>41</v>
      </c>
      <c r="B23" s="5">
        <v>112000</v>
      </c>
    </row>
    <row r="24" spans="1:2" x14ac:dyDescent="0.35">
      <c r="A24" s="14" t="s">
        <v>42</v>
      </c>
      <c r="B24" s="5">
        <v>162000</v>
      </c>
    </row>
    <row r="25" spans="1:2" x14ac:dyDescent="0.35">
      <c r="A25" s="14" t="s">
        <v>43</v>
      </c>
      <c r="B25" s="5">
        <v>16000</v>
      </c>
    </row>
    <row r="26" spans="1:2" x14ac:dyDescent="0.35">
      <c r="A26" s="14" t="s">
        <v>45</v>
      </c>
      <c r="B26" s="5">
        <v>585000</v>
      </c>
    </row>
    <row r="27" spans="1:2" x14ac:dyDescent="0.35">
      <c r="A27" s="14" t="s">
        <v>46</v>
      </c>
      <c r="B27" s="5">
        <v>1105000</v>
      </c>
    </row>
    <row r="28" spans="1:2" x14ac:dyDescent="0.35">
      <c r="A28" s="14" t="s">
        <v>48</v>
      </c>
      <c r="B28" s="5">
        <v>765000</v>
      </c>
    </row>
    <row r="29" spans="1:2" x14ac:dyDescent="0.35">
      <c r="A29" s="14" t="s">
        <v>49</v>
      </c>
      <c r="B29" s="5">
        <v>1020000</v>
      </c>
    </row>
    <row r="30" spans="1:2" x14ac:dyDescent="0.35">
      <c r="A30" s="14" t="s">
        <v>50</v>
      </c>
      <c r="B30" s="5">
        <v>13500</v>
      </c>
    </row>
    <row r="31" spans="1:2" x14ac:dyDescent="0.35">
      <c r="A31" s="14" t="s">
        <v>51</v>
      </c>
      <c r="B31" s="5">
        <v>4500</v>
      </c>
    </row>
    <row r="32" spans="1:2" x14ac:dyDescent="0.35">
      <c r="A32" s="14" t="s">
        <v>52</v>
      </c>
      <c r="B32" s="5">
        <v>455000</v>
      </c>
    </row>
    <row r="33" spans="1:2" x14ac:dyDescent="0.35">
      <c r="A33" s="14" t="s">
        <v>53</v>
      </c>
      <c r="B33" s="5">
        <v>175000</v>
      </c>
    </row>
    <row r="34" spans="1:2" x14ac:dyDescent="0.35">
      <c r="A34" s="14" t="s">
        <v>54</v>
      </c>
      <c r="B34" s="5">
        <v>105000</v>
      </c>
    </row>
    <row r="35" spans="1:2" x14ac:dyDescent="0.35">
      <c r="A35" s="14" t="s">
        <v>56</v>
      </c>
      <c r="B35" s="5">
        <v>18000</v>
      </c>
    </row>
    <row r="36" spans="1:2" x14ac:dyDescent="0.35">
      <c r="A36" s="14" t="s">
        <v>57</v>
      </c>
      <c r="B36" s="5">
        <v>15000</v>
      </c>
    </row>
    <row r="37" spans="1:2" x14ac:dyDescent="0.35">
      <c r="A37" s="14" t="s">
        <v>59</v>
      </c>
      <c r="B37" s="5">
        <v>28000</v>
      </c>
    </row>
    <row r="38" spans="1:2" x14ac:dyDescent="0.35">
      <c r="A38" s="14" t="s">
        <v>61</v>
      </c>
      <c r="B38" s="5">
        <v>80000</v>
      </c>
    </row>
    <row r="39" spans="1:2" x14ac:dyDescent="0.35">
      <c r="A39" s="14" t="s">
        <v>62</v>
      </c>
      <c r="B39" s="5">
        <v>40500</v>
      </c>
    </row>
    <row r="40" spans="1:2" x14ac:dyDescent="0.35">
      <c r="A40" s="14" t="s">
        <v>63</v>
      </c>
      <c r="B40" s="5">
        <v>15000</v>
      </c>
    </row>
    <row r="41" spans="1:2" x14ac:dyDescent="0.35">
      <c r="A41" s="14" t="s">
        <v>65</v>
      </c>
      <c r="B41" s="5">
        <v>245000</v>
      </c>
    </row>
    <row r="42" spans="1:2" x14ac:dyDescent="0.35">
      <c r="A42" s="14" t="s">
        <v>66</v>
      </c>
      <c r="B42" s="5">
        <v>350000</v>
      </c>
    </row>
    <row r="43" spans="1:2" x14ac:dyDescent="0.35">
      <c r="A43" s="14" t="s">
        <v>67</v>
      </c>
      <c r="B43" s="5">
        <v>22000</v>
      </c>
    </row>
    <row r="44" spans="1:2" x14ac:dyDescent="0.35">
      <c r="A44" s="14" t="s">
        <v>68</v>
      </c>
      <c r="B44" s="5">
        <v>105000</v>
      </c>
    </row>
    <row r="45" spans="1:2" x14ac:dyDescent="0.35">
      <c r="A45" s="14" t="s">
        <v>69</v>
      </c>
      <c r="B45" s="5">
        <v>104000</v>
      </c>
    </row>
    <row r="46" spans="1:2" x14ac:dyDescent="0.35">
      <c r="A46" s="14" t="s">
        <v>70</v>
      </c>
      <c r="B46" s="5">
        <v>48000</v>
      </c>
    </row>
    <row r="47" spans="1:2" x14ac:dyDescent="0.35">
      <c r="A47" s="14" t="s">
        <v>71</v>
      </c>
      <c r="B47" s="5">
        <v>50000</v>
      </c>
    </row>
    <row r="48" spans="1:2" x14ac:dyDescent="0.35">
      <c r="A48" s="14" t="s">
        <v>72</v>
      </c>
      <c r="B48" s="5">
        <v>85000</v>
      </c>
    </row>
    <row r="49" spans="1:2" x14ac:dyDescent="0.35">
      <c r="A49" s="14" t="s">
        <v>73</v>
      </c>
      <c r="B49" s="5">
        <v>10000</v>
      </c>
    </row>
    <row r="50" spans="1:2" x14ac:dyDescent="0.35">
      <c r="A50" s="14" t="s">
        <v>75</v>
      </c>
      <c r="B50" s="5">
        <v>245000</v>
      </c>
    </row>
    <row r="51" spans="1:2" x14ac:dyDescent="0.35">
      <c r="A51" s="14" t="s">
        <v>76</v>
      </c>
      <c r="B51" s="5">
        <v>35000</v>
      </c>
    </row>
    <row r="52" spans="1:2" x14ac:dyDescent="0.35">
      <c r="A52" s="14" t="s">
        <v>77</v>
      </c>
      <c r="B52" s="5">
        <v>350000</v>
      </c>
    </row>
    <row r="53" spans="1:2" x14ac:dyDescent="0.35">
      <c r="A53" s="14" t="s">
        <v>78</v>
      </c>
      <c r="B53" s="5">
        <v>27000</v>
      </c>
    </row>
    <row r="54" spans="1:2" x14ac:dyDescent="0.35">
      <c r="A54" s="8" t="s">
        <v>92</v>
      </c>
      <c r="B54" s="5">
        <v>9255000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abSelected="1" workbookViewId="0">
      <selection activeCell="G12" activeCellId="1" sqref="H10 G12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3" spans="1:2" x14ac:dyDescent="0.35">
      <c r="A3" s="7" t="s">
        <v>87</v>
      </c>
      <c r="B3" t="s">
        <v>94</v>
      </c>
    </row>
    <row r="4" spans="1:2" x14ac:dyDescent="0.35">
      <c r="A4" s="8" t="s">
        <v>88</v>
      </c>
      <c r="B4" s="9">
        <v>0.2673149648838466</v>
      </c>
    </row>
    <row r="5" spans="1:2" x14ac:dyDescent="0.35">
      <c r="A5" s="8" t="s">
        <v>89</v>
      </c>
      <c r="B5" s="9">
        <v>0.1903295515937331</v>
      </c>
    </row>
    <row r="6" spans="1:2" x14ac:dyDescent="0.35">
      <c r="A6" s="8" t="s">
        <v>90</v>
      </c>
      <c r="B6" s="9">
        <v>0.13884386817936251</v>
      </c>
    </row>
    <row r="7" spans="1:2" x14ac:dyDescent="0.35">
      <c r="A7" s="8" t="s">
        <v>91</v>
      </c>
      <c r="B7" s="9">
        <v>0.40351161534305779</v>
      </c>
    </row>
    <row r="8" spans="1:2" x14ac:dyDescent="0.35">
      <c r="A8" s="8" t="s">
        <v>92</v>
      </c>
      <c r="B8" s="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Raw_CSV_Import</vt:lpstr>
      <vt:lpstr>QUESTIONS</vt:lpstr>
      <vt:lpstr>UNITS BY REGION</vt:lpstr>
      <vt:lpstr>REVENUE BY CATEGORY</vt:lpstr>
      <vt:lpstr>REVENUE BY MONTH</vt:lpstr>
      <vt:lpstr>REVENUE BY REGION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Preeti Ravikiran</dc:creator>
  <cp:lastModifiedBy>HP</cp:lastModifiedBy>
  <dcterms:created xsi:type="dcterms:W3CDTF">2026-02-16T03:22:46Z</dcterms:created>
  <dcterms:modified xsi:type="dcterms:W3CDTF">2026-02-28T18:07:05Z</dcterms:modified>
</cp:coreProperties>
</file>