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660" windowWidth="19420" windowHeight="11020"/>
  </bookViews>
  <sheets>
    <sheet name="Data" sheetId="12" r:id="rId1"/>
  </sheets>
  <definedNames>
    <definedName name="_Ret1">#REF!</definedName>
    <definedName name="_Ret2">#REF!</definedName>
    <definedName name="c_">#REF!</definedName>
    <definedName name="Cost">#REF!</definedName>
    <definedName name="P">#REF!</definedName>
    <definedName name="Principal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2" l="1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5" i="12"/>
  <c r="N4" i="12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O26" i="12" l="1"/>
  <c r="O27" i="12" s="1"/>
  <c r="N26" i="12"/>
  <c r="N27" i="12" s="1"/>
  <c r="P26" i="12"/>
  <c r="P27" i="12" s="1"/>
  <c r="I26" i="12"/>
</calcChain>
</file>

<file path=xl/sharedStrings.xml><?xml version="1.0" encoding="utf-8"?>
<sst xmlns="http://schemas.openxmlformats.org/spreadsheetml/2006/main" count="17" uniqueCount="10">
  <si>
    <t>Year</t>
  </si>
  <si>
    <t>Bonds</t>
  </si>
  <si>
    <t xml:space="preserve">Total Annual Percentage Return </t>
  </si>
  <si>
    <t>Large cap</t>
  </si>
  <si>
    <t>Small cap</t>
  </si>
  <si>
    <t>To Calculate Average Annualised Return across three different asset classes</t>
  </si>
  <si>
    <t>Small Cap</t>
  </si>
  <si>
    <t>Large Cap</t>
  </si>
  <si>
    <t>Using Growth Rate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</si>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</sst>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0" fontId="0" fillId="0" borderId="1" xfId="0" applyNumberFormat="1" applyBorder="1"/>
    <xf numFmtId="0" fontId="2" fillId="0" borderId="1" xfId="0" applyFont="1" applyBorder="1"/>
    <xf numFmtId="2" fontId="2" fillId="0" borderId="1" xfId="1" applyNumberFormat="1" applyFont="1" applyBorder="1"/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zoomScaleNormal="100" workbookViewId="0">
      <selection activeCell="S5" sqref="S5"/>
    </sheetView>
  </sheetViews>
  <sheetFormatPr defaultColWidth="8.81640625" defaultRowHeight="12.5" x14ac:dyDescent="0.25"/>
  <cols>
    <col min="1" max="1" width="5.26953125" customWidth="1"/>
    <col min="2" max="2" width="9.36328125" customWidth="1"/>
    <col min="3" max="3" width="9.26953125" customWidth="1"/>
    <col min="4" max="4" width="6.36328125" customWidth="1"/>
    <col min="7" max="7" width="6" customWidth="1"/>
    <col min="8" max="8" width="9.1796875" bestFit="1" customWidth="1"/>
    <col min="9" max="9" width="9.26953125" bestFit="1" customWidth="1"/>
    <col min="10" max="10" width="7" customWidth="1"/>
    <col min="11" max="11" width="7" bestFit="1" customWidth="1"/>
    <col min="13" max="13" width="6" bestFit="1" customWidth="1"/>
  </cols>
  <sheetData>
    <row r="1" spans="1:16" ht="15.5" x14ac:dyDescent="0.35">
      <c r="A1" s="3" t="s">
        <v>5</v>
      </c>
      <c r="I1" s="2" t="s">
        <v>2</v>
      </c>
      <c r="M1" s="10" t="s">
        <v>8</v>
      </c>
      <c r="N1" s="10"/>
      <c r="O1" s="10"/>
      <c r="P1" s="10"/>
    </row>
    <row r="2" spans="1:16" ht="15.5" x14ac:dyDescent="0.35">
      <c r="A2" s="1"/>
      <c r="C2" s="2"/>
      <c r="D2" s="1"/>
      <c r="M2" s="10"/>
      <c r="N2" s="10"/>
      <c r="O2" s="10"/>
      <c r="P2" s="10"/>
    </row>
    <row r="3" spans="1:16" ht="15.5" x14ac:dyDescent="0.35">
      <c r="A3" s="8" t="s">
        <v>0</v>
      </c>
      <c r="B3" s="8" t="s">
        <v>4</v>
      </c>
      <c r="C3" s="8" t="s">
        <v>3</v>
      </c>
      <c r="D3" s="8" t="s">
        <v>1</v>
      </c>
      <c r="G3" s="4" t="s">
        <v>0</v>
      </c>
      <c r="H3" s="4" t="s">
        <v>6</v>
      </c>
      <c r="I3" s="4" t="s">
        <v>7</v>
      </c>
      <c r="J3" s="4" t="s">
        <v>1</v>
      </c>
      <c r="M3" s="4" t="s">
        <v>0</v>
      </c>
      <c r="N3" s="4" t="s">
        <v>6</v>
      </c>
      <c r="O3" s="4" t="s">
        <v>7</v>
      </c>
      <c r="P3" s="4" t="s">
        <v>1</v>
      </c>
    </row>
    <row r="4" spans="1:16" ht="15.5" x14ac:dyDescent="0.35">
      <c r="A4" s="8">
        <v>2000</v>
      </c>
      <c r="B4" s="9">
        <v>0.27440000000000003</v>
      </c>
      <c r="C4" s="9">
        <v>0.22089999999999999</v>
      </c>
      <c r="D4" s="9">
        <v>6.5199999999999994E-2</v>
      </c>
      <c r="G4" s="5">
        <v>1999</v>
      </c>
      <c r="H4" s="6">
        <v>1</v>
      </c>
      <c r="I4" s="6">
        <v>1</v>
      </c>
      <c r="J4" s="6">
        <v>1</v>
      </c>
      <c r="M4" s="5">
        <v>1999</v>
      </c>
      <c r="N4" s="5">
        <f>1+B4:B24</f>
        <v>1.2744</v>
      </c>
      <c r="O4" s="5">
        <v>1</v>
      </c>
      <c r="P4" s="5">
        <v>1</v>
      </c>
    </row>
    <row r="5" spans="1:16" ht="15.5" x14ac:dyDescent="0.35">
      <c r="A5" s="8">
        <v>2001</v>
      </c>
      <c r="B5" s="9">
        <v>0.34490000000000004</v>
      </c>
      <c r="C5" s="9">
        <v>0.22370000000000001</v>
      </c>
      <c r="D5" s="9">
        <v>-5.3E-3</v>
      </c>
      <c r="G5" s="5">
        <v>2000</v>
      </c>
      <c r="H5" s="6">
        <f t="shared" ref="H5:H25" si="0">$H4+($B4*$H4)</f>
        <v>1.2744</v>
      </c>
      <c r="I5" s="6">
        <f t="shared" ref="I5:I25" si="1">$I4+($C4*$I4)</f>
        <v>1.2208999999999999</v>
      </c>
      <c r="J5" s="6">
        <f t="shared" ref="J5:J25" si="2">$J4+($D4*$J4)</f>
        <v>1.0651999999999999</v>
      </c>
      <c r="M5" s="5">
        <v>2000</v>
      </c>
      <c r="N5" s="6">
        <f t="shared" ref="N5:N25" si="3">1+B4</f>
        <v>1.2744</v>
      </c>
      <c r="O5" s="6">
        <f t="shared" ref="O5:O25" si="4">1+C4</f>
        <v>1.2208999999999999</v>
      </c>
      <c r="P5" s="6">
        <f t="shared" ref="P5:P25" si="5">1+D4</f>
        <v>1.0651999999999999</v>
      </c>
    </row>
    <row r="6" spans="1:16" ht="15.5" x14ac:dyDescent="0.35">
      <c r="A6" s="8">
        <v>2002</v>
      </c>
      <c r="B6" s="9">
        <v>-0.14019999999999999</v>
      </c>
      <c r="C6" s="9">
        <v>6.4600000000000005E-2</v>
      </c>
      <c r="D6" s="9">
        <v>0.15289999999999998</v>
      </c>
      <c r="G6" s="5">
        <v>2001</v>
      </c>
      <c r="H6" s="6">
        <f t="shared" si="0"/>
        <v>1.7139405599999999</v>
      </c>
      <c r="I6" s="6">
        <f t="shared" si="1"/>
        <v>1.4940153299999999</v>
      </c>
      <c r="J6" s="6">
        <f t="shared" si="2"/>
        <v>1.0595544399999999</v>
      </c>
      <c r="M6" s="5">
        <v>2001</v>
      </c>
      <c r="N6" s="6">
        <f t="shared" si="3"/>
        <v>1.3449</v>
      </c>
      <c r="O6" s="6">
        <f t="shared" si="4"/>
        <v>1.2237</v>
      </c>
      <c r="P6" s="6">
        <f t="shared" si="5"/>
        <v>0.99470000000000003</v>
      </c>
    </row>
    <row r="7" spans="1:16" ht="15.5" x14ac:dyDescent="0.35">
      <c r="A7" s="8">
        <v>2003</v>
      </c>
      <c r="B7" s="9">
        <v>0.28210000000000002</v>
      </c>
      <c r="C7" s="9">
        <v>0.32</v>
      </c>
      <c r="D7" s="9">
        <v>0.32679999999999998</v>
      </c>
      <c r="G7" s="5">
        <v>2002</v>
      </c>
      <c r="H7" s="6">
        <f t="shared" si="0"/>
        <v>1.473646093488</v>
      </c>
      <c r="I7" s="6">
        <f t="shared" si="1"/>
        <v>1.5905287203179999</v>
      </c>
      <c r="J7" s="6">
        <f t="shared" si="2"/>
        <v>1.2215603138759998</v>
      </c>
      <c r="M7" s="5">
        <v>2002</v>
      </c>
      <c r="N7" s="6">
        <f t="shared" si="3"/>
        <v>0.85980000000000001</v>
      </c>
      <c r="O7" s="6">
        <f t="shared" si="4"/>
        <v>1.0646</v>
      </c>
      <c r="P7" s="6">
        <f t="shared" si="5"/>
        <v>1.1529</v>
      </c>
    </row>
    <row r="8" spans="1:16" ht="15.5" x14ac:dyDescent="0.35">
      <c r="A8" s="8">
        <v>2004</v>
      </c>
      <c r="B8" s="9">
        <v>3.4000000000000002E-2</v>
      </c>
      <c r="C8" s="9">
        <v>0.184</v>
      </c>
      <c r="D8" s="9">
        <v>0.23960000000000001</v>
      </c>
      <c r="G8" s="5">
        <v>2003</v>
      </c>
      <c r="H8" s="6">
        <f t="shared" si="0"/>
        <v>1.8893616564609648</v>
      </c>
      <c r="I8" s="6">
        <f t="shared" si="1"/>
        <v>2.0994979108197596</v>
      </c>
      <c r="J8" s="6">
        <f t="shared" si="2"/>
        <v>1.6207662244506766</v>
      </c>
      <c r="M8" s="5">
        <v>2003</v>
      </c>
      <c r="N8" s="6">
        <f t="shared" si="3"/>
        <v>1.2821</v>
      </c>
      <c r="O8" s="6">
        <f t="shared" si="4"/>
        <v>1.32</v>
      </c>
      <c r="P8" s="6">
        <f t="shared" si="5"/>
        <v>1.3268</v>
      </c>
    </row>
    <row r="9" spans="1:16" ht="15.5" x14ac:dyDescent="0.35">
      <c r="A9" s="8">
        <v>2005</v>
      </c>
      <c r="B9" s="9">
        <v>-0.13949999999999999</v>
      </c>
      <c r="C9" s="9">
        <v>5.3399999999999996E-2</v>
      </c>
      <c r="D9" s="9">
        <v>-2.6499999999999999E-2</v>
      </c>
      <c r="G9" s="5">
        <v>2004</v>
      </c>
      <c r="H9" s="6">
        <f t="shared" si="0"/>
        <v>1.9535999527806376</v>
      </c>
      <c r="I9" s="6">
        <f t="shared" si="1"/>
        <v>2.4858055264105952</v>
      </c>
      <c r="J9" s="6">
        <f t="shared" si="2"/>
        <v>2.0091018118290589</v>
      </c>
      <c r="M9" s="5">
        <v>2004</v>
      </c>
      <c r="N9" s="6">
        <f t="shared" si="3"/>
        <v>1.034</v>
      </c>
      <c r="O9" s="6">
        <f t="shared" si="4"/>
        <v>1.1839999999999999</v>
      </c>
      <c r="P9" s="6">
        <f t="shared" si="5"/>
        <v>1.2396</v>
      </c>
    </row>
    <row r="10" spans="1:16" ht="15.5" x14ac:dyDescent="0.35">
      <c r="A10" s="8">
        <v>2006</v>
      </c>
      <c r="B10" s="9">
        <v>0.21719999999999998</v>
      </c>
      <c r="C10" s="9">
        <v>0.1686</v>
      </c>
      <c r="D10" s="9">
        <v>8.4000000000000005E-2</v>
      </c>
      <c r="G10" s="5">
        <v>2005</v>
      </c>
      <c r="H10" s="6">
        <f t="shared" si="0"/>
        <v>1.6810727593677386</v>
      </c>
      <c r="I10" s="6">
        <f t="shared" si="1"/>
        <v>2.618547541520921</v>
      </c>
      <c r="J10" s="6">
        <f t="shared" si="2"/>
        <v>1.9558606138155887</v>
      </c>
      <c r="M10" s="5">
        <v>2005</v>
      </c>
      <c r="N10" s="6">
        <f t="shared" si="3"/>
        <v>0.86050000000000004</v>
      </c>
      <c r="O10" s="6">
        <f t="shared" si="4"/>
        <v>1.0533999999999999</v>
      </c>
      <c r="P10" s="6">
        <f t="shared" si="5"/>
        <v>0.97350000000000003</v>
      </c>
    </row>
    <row r="11" spans="1:16" ht="15.5" x14ac:dyDescent="0.35">
      <c r="A11" s="8">
        <v>2007</v>
      </c>
      <c r="B11" s="9">
        <v>8.3699999999999997E-2</v>
      </c>
      <c r="C11" s="9">
        <v>0.31340000000000001</v>
      </c>
      <c r="D11" s="9">
        <v>0.19489999999999999</v>
      </c>
      <c r="G11" s="5">
        <v>2006</v>
      </c>
      <c r="H11" s="6">
        <f t="shared" si="0"/>
        <v>2.0462017627024114</v>
      </c>
      <c r="I11" s="6">
        <f t="shared" si="1"/>
        <v>3.0600346570213484</v>
      </c>
      <c r="J11" s="6">
        <f t="shared" si="2"/>
        <v>2.1201529053760981</v>
      </c>
      <c r="M11" s="5">
        <v>2006</v>
      </c>
      <c r="N11" s="6">
        <f t="shared" si="3"/>
        <v>1.2172000000000001</v>
      </c>
      <c r="O11" s="6">
        <f t="shared" si="4"/>
        <v>1.1686000000000001</v>
      </c>
      <c r="P11" s="6">
        <f t="shared" si="5"/>
        <v>1.0840000000000001</v>
      </c>
    </row>
    <row r="12" spans="1:16" ht="15.5" x14ac:dyDescent="0.35">
      <c r="A12" s="8">
        <v>2008</v>
      </c>
      <c r="B12" s="9">
        <v>-0.27079999999999999</v>
      </c>
      <c r="C12" s="9">
        <v>-3.2000000000000001E-2</v>
      </c>
      <c r="D12" s="9">
        <v>7.1300000000000002E-2</v>
      </c>
      <c r="G12" s="5">
        <v>2007</v>
      </c>
      <c r="H12" s="6">
        <f t="shared" si="0"/>
        <v>2.217468850240603</v>
      </c>
      <c r="I12" s="6">
        <f t="shared" si="1"/>
        <v>4.0190495185318387</v>
      </c>
      <c r="J12" s="6">
        <f t="shared" si="2"/>
        <v>2.5333707066338995</v>
      </c>
      <c r="M12" s="5">
        <v>2007</v>
      </c>
      <c r="N12" s="6">
        <f t="shared" si="3"/>
        <v>1.0836999999999999</v>
      </c>
      <c r="O12" s="6">
        <f t="shared" si="4"/>
        <v>1.3134000000000001</v>
      </c>
      <c r="P12" s="6">
        <f t="shared" si="5"/>
        <v>1.1949000000000001</v>
      </c>
    </row>
    <row r="13" spans="1:16" ht="15.5" x14ac:dyDescent="0.35">
      <c r="A13" s="8">
        <v>2009</v>
      </c>
      <c r="B13" s="9">
        <v>0.50240000000000007</v>
      </c>
      <c r="C13" s="9">
        <v>0.30659999999999998</v>
      </c>
      <c r="D13" s="9">
        <v>0.18390000000000001</v>
      </c>
      <c r="G13" s="5">
        <v>2008</v>
      </c>
      <c r="H13" s="6">
        <f t="shared" si="0"/>
        <v>1.6169782855954478</v>
      </c>
      <c r="I13" s="6">
        <f t="shared" si="1"/>
        <v>3.8904399339388198</v>
      </c>
      <c r="J13" s="6">
        <f t="shared" si="2"/>
        <v>2.7140000380168967</v>
      </c>
      <c r="M13" s="5">
        <v>2008</v>
      </c>
      <c r="N13" s="6">
        <f t="shared" si="3"/>
        <v>0.72920000000000007</v>
      </c>
      <c r="O13" s="6">
        <f t="shared" si="4"/>
        <v>0.96799999999999997</v>
      </c>
      <c r="P13" s="6">
        <f t="shared" si="5"/>
        <v>1.0712999999999999</v>
      </c>
    </row>
    <row r="14" spans="1:16" ht="15.5" x14ac:dyDescent="0.35">
      <c r="A14" s="8">
        <v>2010</v>
      </c>
      <c r="B14" s="9">
        <v>0.27839999999999998</v>
      </c>
      <c r="C14" s="9">
        <v>7.7100000000000002E-2</v>
      </c>
      <c r="D14" s="9">
        <v>7.7899999999999997E-2</v>
      </c>
      <c r="G14" s="5">
        <v>2009</v>
      </c>
      <c r="H14" s="6">
        <f t="shared" si="0"/>
        <v>2.4293481762786007</v>
      </c>
      <c r="I14" s="6">
        <f t="shared" si="1"/>
        <v>5.0832488176844617</v>
      </c>
      <c r="J14" s="6">
        <f t="shared" si="2"/>
        <v>3.2131046450082041</v>
      </c>
      <c r="M14" s="5">
        <v>2009</v>
      </c>
      <c r="N14" s="6">
        <f t="shared" si="3"/>
        <v>1.5024000000000002</v>
      </c>
      <c r="O14" s="6">
        <f t="shared" si="4"/>
        <v>1.3066</v>
      </c>
      <c r="P14" s="6">
        <f t="shared" si="5"/>
        <v>1.1839</v>
      </c>
    </row>
    <row r="15" spans="1:16" ht="15.5" x14ac:dyDescent="0.35">
      <c r="A15" s="8">
        <v>2011</v>
      </c>
      <c r="B15" s="9">
        <v>0.20300000000000001</v>
      </c>
      <c r="C15" s="9">
        <v>9.8699999999999996E-2</v>
      </c>
      <c r="D15" s="9">
        <v>0.15479999999999999</v>
      </c>
      <c r="G15" s="5">
        <v>2010</v>
      </c>
      <c r="H15" s="6">
        <f t="shared" si="0"/>
        <v>3.1056787085545632</v>
      </c>
      <c r="I15" s="6">
        <f t="shared" si="1"/>
        <v>5.4751673015279341</v>
      </c>
      <c r="J15" s="6">
        <f t="shared" si="2"/>
        <v>3.4634054968543433</v>
      </c>
      <c r="M15" s="5">
        <v>2010</v>
      </c>
      <c r="N15" s="6">
        <f t="shared" si="3"/>
        <v>1.2784</v>
      </c>
      <c r="O15" s="6">
        <f t="shared" si="4"/>
        <v>1.0770999999999999</v>
      </c>
      <c r="P15" s="6">
        <f t="shared" si="5"/>
        <v>1.0779000000000001</v>
      </c>
    </row>
    <row r="16" spans="1:16" ht="15.5" x14ac:dyDescent="0.35">
      <c r="A16" s="8">
        <v>2012</v>
      </c>
      <c r="B16" s="9">
        <v>-3.3399999999999999E-2</v>
      </c>
      <c r="C16" s="9">
        <v>1.29E-2</v>
      </c>
      <c r="D16" s="9">
        <v>-7.1800000000000003E-2</v>
      </c>
      <c r="G16" s="5">
        <v>2011</v>
      </c>
      <c r="H16" s="6">
        <f t="shared" si="0"/>
        <v>3.7361314863911397</v>
      </c>
      <c r="I16" s="6">
        <f t="shared" si="1"/>
        <v>6.0155663141887414</v>
      </c>
      <c r="J16" s="6">
        <f t="shared" si="2"/>
        <v>3.9995406677673957</v>
      </c>
      <c r="M16" s="5">
        <v>2011</v>
      </c>
      <c r="N16" s="6">
        <f t="shared" si="3"/>
        <v>1.2030000000000001</v>
      </c>
      <c r="O16" s="6">
        <f t="shared" si="4"/>
        <v>1.0987</v>
      </c>
      <c r="P16" s="6">
        <f t="shared" si="5"/>
        <v>1.1548</v>
      </c>
    </row>
    <row r="17" spans="1:16" ht="15.5" x14ac:dyDescent="0.35">
      <c r="A17" s="8">
        <v>2013</v>
      </c>
      <c r="B17" s="9">
        <v>0.33210000000000001</v>
      </c>
      <c r="C17" s="9">
        <v>0.37709999999999999</v>
      </c>
      <c r="D17" s="9">
        <v>0.31670000000000004</v>
      </c>
      <c r="G17" s="5">
        <v>2012</v>
      </c>
      <c r="H17" s="6">
        <f t="shared" si="0"/>
        <v>3.6113446947456755</v>
      </c>
      <c r="I17" s="6">
        <f t="shared" si="1"/>
        <v>6.0931671196417758</v>
      </c>
      <c r="J17" s="6">
        <f t="shared" si="2"/>
        <v>3.7123736478216967</v>
      </c>
      <c r="M17" s="5">
        <v>2012</v>
      </c>
      <c r="N17" s="6">
        <f t="shared" si="3"/>
        <v>0.96660000000000001</v>
      </c>
      <c r="O17" s="6">
        <f t="shared" si="4"/>
        <v>1.0128999999999999</v>
      </c>
      <c r="P17" s="6">
        <f t="shared" si="5"/>
        <v>0.92820000000000003</v>
      </c>
    </row>
    <row r="18" spans="1:16" ht="15.5" x14ac:dyDescent="0.35">
      <c r="A18" s="8">
        <v>2014</v>
      </c>
      <c r="B18" s="9">
        <v>0.16500000000000001</v>
      </c>
      <c r="C18" s="9">
        <v>0.23070000000000002</v>
      </c>
      <c r="D18" s="9">
        <v>-8.1000000000000013E-3</v>
      </c>
      <c r="G18" s="5">
        <v>2013</v>
      </c>
      <c r="H18" s="6">
        <f t="shared" si="0"/>
        <v>4.8106722678707143</v>
      </c>
      <c r="I18" s="6">
        <f t="shared" si="1"/>
        <v>8.3909004404586902</v>
      </c>
      <c r="J18" s="6">
        <f t="shared" si="2"/>
        <v>4.8880823820868287</v>
      </c>
      <c r="M18" s="5">
        <v>2013</v>
      </c>
      <c r="N18" s="6">
        <f t="shared" si="3"/>
        <v>1.3321000000000001</v>
      </c>
      <c r="O18" s="6">
        <f t="shared" si="4"/>
        <v>1.3771</v>
      </c>
      <c r="P18" s="6">
        <f t="shared" si="5"/>
        <v>1.3167</v>
      </c>
    </row>
    <row r="19" spans="1:16" ht="15.5" x14ac:dyDescent="0.35">
      <c r="A19" s="8">
        <v>2015</v>
      </c>
      <c r="B19" s="9">
        <v>0.22359999999999999</v>
      </c>
      <c r="C19" s="9">
        <v>0.33169999999999999</v>
      </c>
      <c r="D19" s="9">
        <v>0.15079999999999999</v>
      </c>
      <c r="G19" s="5">
        <v>2014</v>
      </c>
      <c r="H19" s="6">
        <f t="shared" si="0"/>
        <v>5.604433192069382</v>
      </c>
      <c r="I19" s="6">
        <f t="shared" si="1"/>
        <v>10.32668117207251</v>
      </c>
      <c r="J19" s="6">
        <f t="shared" si="2"/>
        <v>4.8484889147919255</v>
      </c>
      <c r="M19" s="5">
        <v>2014</v>
      </c>
      <c r="N19" s="6">
        <f t="shared" si="3"/>
        <v>1.165</v>
      </c>
      <c r="O19" s="6">
        <f t="shared" si="4"/>
        <v>1.2307000000000001</v>
      </c>
      <c r="P19" s="6">
        <f t="shared" si="5"/>
        <v>0.9919</v>
      </c>
    </row>
    <row r="20" spans="1:16" ht="15.5" x14ac:dyDescent="0.35">
      <c r="A20" s="8">
        <v>2016</v>
      </c>
      <c r="B20" s="9">
        <v>-2.5499999999999998E-2</v>
      </c>
      <c r="C20" s="9">
        <v>0.2858</v>
      </c>
      <c r="D20" s="9">
        <v>0.13519999999999999</v>
      </c>
      <c r="G20" s="5">
        <v>2015</v>
      </c>
      <c r="H20" s="6">
        <f t="shared" si="0"/>
        <v>6.8575844538160959</v>
      </c>
      <c r="I20" s="6">
        <f t="shared" si="1"/>
        <v>13.752041316848961</v>
      </c>
      <c r="J20" s="6">
        <f t="shared" si="2"/>
        <v>5.5796410431425478</v>
      </c>
      <c r="M20" s="5">
        <v>2015</v>
      </c>
      <c r="N20" s="6">
        <f t="shared" si="3"/>
        <v>1.2236</v>
      </c>
      <c r="O20" s="6">
        <f t="shared" si="4"/>
        <v>1.3317000000000001</v>
      </c>
      <c r="P20" s="6">
        <f t="shared" si="5"/>
        <v>1.1508</v>
      </c>
    </row>
    <row r="21" spans="1:16" ht="15.5" x14ac:dyDescent="0.35">
      <c r="A21" s="8">
        <v>2017</v>
      </c>
      <c r="B21" s="9">
        <v>0.21260000000000001</v>
      </c>
      <c r="C21" s="9">
        <v>0.2104</v>
      </c>
      <c r="D21" s="9">
        <v>-8.7400000000000005E-2</v>
      </c>
      <c r="G21" s="5">
        <v>2016</v>
      </c>
      <c r="H21" s="6">
        <f t="shared" si="0"/>
        <v>6.6827160502437852</v>
      </c>
      <c r="I21" s="6">
        <f t="shared" si="1"/>
        <v>17.682374725204394</v>
      </c>
      <c r="J21" s="6">
        <f t="shared" si="2"/>
        <v>6.3340085121754202</v>
      </c>
      <c r="M21" s="5">
        <v>2016</v>
      </c>
      <c r="N21" s="6">
        <f t="shared" si="3"/>
        <v>0.97450000000000003</v>
      </c>
      <c r="O21" s="6">
        <f t="shared" si="4"/>
        <v>1.2858000000000001</v>
      </c>
      <c r="P21" s="6">
        <f t="shared" si="5"/>
        <v>1.1352</v>
      </c>
    </row>
    <row r="22" spans="1:16" ht="15.5" x14ac:dyDescent="0.35">
      <c r="A22" s="8">
        <v>2018</v>
      </c>
      <c r="B22" s="9">
        <v>-2.6699999999999998E-2</v>
      </c>
      <c r="C22" s="9">
        <v>-9.0999999999999998E-2</v>
      </c>
      <c r="D22" s="9">
        <v>0.16639999999999999</v>
      </c>
      <c r="G22" s="5">
        <v>2017</v>
      </c>
      <c r="H22" s="6">
        <f t="shared" si="0"/>
        <v>8.1034614825256135</v>
      </c>
      <c r="I22" s="6">
        <f t="shared" si="1"/>
        <v>21.402746367387397</v>
      </c>
      <c r="J22" s="6">
        <f t="shared" si="2"/>
        <v>5.7804161682112882</v>
      </c>
      <c r="M22" s="5">
        <v>2017</v>
      </c>
      <c r="N22" s="6">
        <f t="shared" si="3"/>
        <v>1.2126000000000001</v>
      </c>
      <c r="O22" s="6">
        <f t="shared" si="4"/>
        <v>1.2103999999999999</v>
      </c>
      <c r="P22" s="6">
        <f t="shared" si="5"/>
        <v>0.91259999999999997</v>
      </c>
    </row>
    <row r="23" spans="1:16" ht="15.5" x14ac:dyDescent="0.35">
      <c r="A23" s="8">
        <v>2019</v>
      </c>
      <c r="B23" s="9">
        <v>-3.1E-2</v>
      </c>
      <c r="C23" s="9">
        <v>-0.11900000000000001</v>
      </c>
      <c r="D23" s="9">
        <v>8.1699999999999995E-2</v>
      </c>
      <c r="G23" s="5">
        <v>2018</v>
      </c>
      <c r="H23" s="6">
        <f t="shared" si="0"/>
        <v>7.8870990609421794</v>
      </c>
      <c r="I23" s="6">
        <f t="shared" si="1"/>
        <v>19.455096447955142</v>
      </c>
      <c r="J23" s="6">
        <f t="shared" si="2"/>
        <v>6.7422774186016463</v>
      </c>
      <c r="M23" s="5">
        <v>2018</v>
      </c>
      <c r="N23" s="6">
        <f t="shared" si="3"/>
        <v>0.97330000000000005</v>
      </c>
      <c r="O23" s="6">
        <f t="shared" si="4"/>
        <v>0.90900000000000003</v>
      </c>
      <c r="P23" s="6">
        <f t="shared" si="5"/>
        <v>1.1663999999999999</v>
      </c>
    </row>
    <row r="24" spans="1:16" ht="15.5" x14ac:dyDescent="0.35">
      <c r="A24" s="8">
        <v>2020</v>
      </c>
      <c r="B24" s="9">
        <v>-0.20019999999999999</v>
      </c>
      <c r="C24" s="9">
        <v>-0.221</v>
      </c>
      <c r="D24" s="9">
        <v>0.14349999999999999</v>
      </c>
      <c r="G24" s="5">
        <v>2019</v>
      </c>
      <c r="H24" s="6">
        <f t="shared" si="0"/>
        <v>7.6425989900529716</v>
      </c>
      <c r="I24" s="6">
        <f t="shared" si="1"/>
        <v>17.139939970648481</v>
      </c>
      <c r="J24" s="6">
        <f t="shared" si="2"/>
        <v>7.2931214837014009</v>
      </c>
      <c r="M24" s="5">
        <v>2019</v>
      </c>
      <c r="N24" s="6">
        <f t="shared" si="3"/>
        <v>0.96899999999999997</v>
      </c>
      <c r="O24" s="6">
        <f t="shared" si="4"/>
        <v>0.88100000000000001</v>
      </c>
      <c r="P24" s="6">
        <f t="shared" si="5"/>
        <v>1.0817000000000001</v>
      </c>
    </row>
    <row r="25" spans="1:16" x14ac:dyDescent="0.25">
      <c r="G25" s="5">
        <v>2020</v>
      </c>
      <c r="H25" s="6">
        <f t="shared" si="0"/>
        <v>6.1125506722443665</v>
      </c>
      <c r="I25" s="6">
        <f t="shared" si="1"/>
        <v>13.352013237135166</v>
      </c>
      <c r="J25" s="6">
        <f t="shared" si="2"/>
        <v>8.3396844166125526</v>
      </c>
      <c r="M25" s="5">
        <v>2020</v>
      </c>
      <c r="N25" s="6">
        <f t="shared" si="3"/>
        <v>0.79980000000000007</v>
      </c>
      <c r="O25" s="6">
        <f t="shared" si="4"/>
        <v>0.77900000000000003</v>
      </c>
      <c r="P25" s="6">
        <f t="shared" si="5"/>
        <v>1.1435</v>
      </c>
    </row>
    <row r="26" spans="1:16" x14ac:dyDescent="0.25">
      <c r="G26" s="4" t="s">
        <v>9</v>
      </c>
      <c r="H26" s="7">
        <f>((H25/H4)^(1/(COUNT(G4:G25)-1)))-1</f>
        <v>9.0031793357481238E-2</v>
      </c>
      <c r="I26" s="7">
        <f>((I25/I4)^(1/(COUNT(H4:H25)-1)))-1</f>
        <v>0.1313512590066872</v>
      </c>
      <c r="J26" s="7">
        <f>((J25/J4)^(1/(COUNT(I4:I25)-1)))-1</f>
        <v>0.10627797856363919</v>
      </c>
      <c r="M26" s="4"/>
      <c r="N26" s="5">
        <f>GEOMEAN(N5:N25)</f>
        <v>1.0900317933574812</v>
      </c>
      <c r="O26" s="5">
        <f>GEOMEAN(O5:O25)</f>
        <v>1.1313512590066872</v>
      </c>
      <c r="P26" s="5">
        <f>GEOMEAN(P5:P25)</f>
        <v>1.1062779785636392</v>
      </c>
    </row>
    <row r="27" spans="1:16" x14ac:dyDescent="0.25">
      <c r="M27" s="4" t="s">
        <v>9</v>
      </c>
      <c r="N27" s="7">
        <f>N26-1</f>
        <v>9.0031793357481238E-2</v>
      </c>
      <c r="O27" s="7">
        <f t="shared" ref="O27:P27" si="6">O26-1</f>
        <v>0.1313512590066872</v>
      </c>
      <c r="P27" s="7">
        <f t="shared" si="6"/>
        <v>0.10627797856363919</v>
      </c>
    </row>
  </sheetData>
  <mergeCells count="1">
    <mergeCell ref="M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X Axis Technologies,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Sengupta</dc:creator>
  <cp:lastModifiedBy>HP</cp:lastModifiedBy>
  <dcterms:created xsi:type="dcterms:W3CDTF">2003-06-01T17:47:58Z</dcterms:created>
  <dcterms:modified xsi:type="dcterms:W3CDTF">2026-03-06T13:38:58Z</dcterms:modified>
</cp:coreProperties>
</file>